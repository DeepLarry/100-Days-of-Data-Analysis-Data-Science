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1e55da5034a6c9/Desktop/"/>
    </mc:Choice>
  </mc:AlternateContent>
  <xr:revisionPtr revIDLastSave="0" documentId="8_{8D87067F-7AD9-464C-B06B-769591A332E8}" xr6:coauthVersionLast="47" xr6:coauthVersionMax="47" xr10:uidLastSave="{00000000-0000-0000-0000-000000000000}"/>
  <bookViews>
    <workbookView xWindow="0" yWindow="500" windowWidth="19420" windowHeight="10300" xr2:uid="{D8539214-0E56-401A-911F-464F855BE225}"/>
  </bookViews>
  <sheets>
    <sheet name="suppliers" sheetId="1" r:id="rId1"/>
  </sheets>
  <calcPr calcId="0"/>
</workbook>
</file>

<file path=xl/calcChain.xml><?xml version="1.0" encoding="utf-8"?>
<calcChain xmlns="http://schemas.openxmlformats.org/spreadsheetml/2006/main">
  <c r="B18" i="1" l="1"/>
  <c r="B23" i="1"/>
  <c r="B25" i="1"/>
  <c r="B46" i="1"/>
  <c r="B77" i="1"/>
  <c r="B79" i="1"/>
  <c r="B91" i="1"/>
  <c r="B102" i="1"/>
  <c r="B129" i="1"/>
  <c r="B142" i="1"/>
  <c r="B180" i="1"/>
  <c r="B208" i="1"/>
  <c r="B211" i="1"/>
  <c r="B228" i="1"/>
  <c r="B280" i="1"/>
  <c r="B296" i="1"/>
  <c r="B313" i="1"/>
  <c r="B423" i="1"/>
  <c r="B424" i="1"/>
  <c r="B459" i="1"/>
  <c r="B463" i="1"/>
  <c r="B497" i="1"/>
  <c r="B506" i="1"/>
  <c r="B512" i="1"/>
  <c r="B545" i="1"/>
  <c r="B563" i="1"/>
  <c r="B572" i="1"/>
  <c r="B615" i="1"/>
  <c r="B656" i="1"/>
  <c r="B709" i="1"/>
  <c r="B753" i="1"/>
  <c r="B754" i="1"/>
  <c r="B772" i="1"/>
  <c r="B775" i="1"/>
  <c r="B818" i="1"/>
  <c r="B841" i="1"/>
  <c r="B853" i="1"/>
  <c r="B871" i="1"/>
  <c r="B889" i="1"/>
  <c r="B907" i="1"/>
  <c r="B932" i="1"/>
  <c r="B948" i="1"/>
  <c r="B966" i="1"/>
  <c r="B984" i="1"/>
</calcChain>
</file>

<file path=xl/sharedStrings.xml><?xml version="1.0" encoding="utf-8"?>
<sst xmlns="http://schemas.openxmlformats.org/spreadsheetml/2006/main" count="2883" uniqueCount="2838">
  <si>
    <t>phone</t>
  </si>
  <si>
    <t>city</t>
  </si>
  <si>
    <t>Danny Faulkner</t>
  </si>
  <si>
    <t>226.253.7409x180</t>
  </si>
  <si>
    <t>Angelaborough</t>
  </si>
  <si>
    <t>Andre Riley</t>
  </si>
  <si>
    <t>522.880.6228</t>
  </si>
  <si>
    <t>North Darren</t>
  </si>
  <si>
    <t>Leonard Bailey</t>
  </si>
  <si>
    <t>262-778-3942x217</t>
  </si>
  <si>
    <t>Millermouth</t>
  </si>
  <si>
    <t>Jessica Mcdonald</t>
  </si>
  <si>
    <t>+1-423-618-0303x8707</t>
  </si>
  <si>
    <t>South Emily</t>
  </si>
  <si>
    <t>Kim Sanford</t>
  </si>
  <si>
    <t>235-484-6523</t>
  </si>
  <si>
    <t>Port Breannamouth</t>
  </si>
  <si>
    <t>Philip Hughes</t>
  </si>
  <si>
    <t>Melissaville</t>
  </si>
  <si>
    <t>Kenneth Murphy</t>
  </si>
  <si>
    <t>001-259-287-5088x542</t>
  </si>
  <si>
    <t>Obrienborough</t>
  </si>
  <si>
    <t>Christopher Underwood</t>
  </si>
  <si>
    <t>(602)899-3043x829</t>
  </si>
  <si>
    <t>West Deannaberg</t>
  </si>
  <si>
    <t>Anna Perry</t>
  </si>
  <si>
    <t>(272)639-3689x78445</t>
  </si>
  <si>
    <t>East Sean</t>
  </si>
  <si>
    <t>Aaron Garcia</t>
  </si>
  <si>
    <t>579-220-2750</t>
  </si>
  <si>
    <t>Richardsonshire</t>
  </si>
  <si>
    <t>Mr. Marcus Rodriguez</t>
  </si>
  <si>
    <t>+1-569-648-8672x7708</t>
  </si>
  <si>
    <t>Smithland</t>
  </si>
  <si>
    <t>Megan Duarte</t>
  </si>
  <si>
    <t>(219)870-5432</t>
  </si>
  <si>
    <t>Port Davidborough</t>
  </si>
  <si>
    <t>John Anderson</t>
  </si>
  <si>
    <t>827-927-7028</t>
  </si>
  <si>
    <t>West Jessica</t>
  </si>
  <si>
    <t>Daniel Mcpherson</t>
  </si>
  <si>
    <t>483-883-5987</t>
  </si>
  <si>
    <t>Lake Brian</t>
  </si>
  <si>
    <t>Matthew Jarvis</t>
  </si>
  <si>
    <t>(683)938-5066x22675</t>
  </si>
  <si>
    <t>East Joshua</t>
  </si>
  <si>
    <t>Tammy Cole</t>
  </si>
  <si>
    <t>+1-744-961-5410x060</t>
  </si>
  <si>
    <t>Jacobshire</t>
  </si>
  <si>
    <t>Matthew White DDS</t>
  </si>
  <si>
    <t>Lake Rebeccatown</t>
  </si>
  <si>
    <t>Jon Romero</t>
  </si>
  <si>
    <t>+1-226-297-5286x1963</t>
  </si>
  <si>
    <t>South Michaelside</t>
  </si>
  <si>
    <t>Benjamin Maxwell</t>
  </si>
  <si>
    <t>001-865-745-4764x7637</t>
  </si>
  <si>
    <t>Lisaborough</t>
  </si>
  <si>
    <t>Gary Wilkerson</t>
  </si>
  <si>
    <t>240.547.6438x23893</t>
  </si>
  <si>
    <t>Nashport</t>
  </si>
  <si>
    <t>Samantha Daniel</t>
  </si>
  <si>
    <t>459-518-7558x111</t>
  </si>
  <si>
    <t>South Charleshaven</t>
  </si>
  <si>
    <t>Timothy Stewart</t>
  </si>
  <si>
    <t>Port Denise</t>
  </si>
  <si>
    <t>Morgan Obrien</t>
  </si>
  <si>
    <t>+1-814-845-2704x266</t>
  </si>
  <si>
    <t>Richardchester</t>
  </si>
  <si>
    <t>Hailey Perez</t>
  </si>
  <si>
    <t>West Stephanie</t>
  </si>
  <si>
    <t>Kelly Patton</t>
  </si>
  <si>
    <t>Alyssaberg</t>
  </si>
  <si>
    <t>Melissa Stuart</t>
  </si>
  <si>
    <t>+1-778-446-9193x23054</t>
  </si>
  <si>
    <t>Jamesside</t>
  </si>
  <si>
    <t>Alyssa Mcdowell</t>
  </si>
  <si>
    <t>319-239-7206</t>
  </si>
  <si>
    <t>Salazarmouth</t>
  </si>
  <si>
    <t>Sara Bell</t>
  </si>
  <si>
    <t>655-625-5690x5360</t>
  </si>
  <si>
    <t>West Darrellmouth</t>
  </si>
  <si>
    <t>Thomas Mcdonald</t>
  </si>
  <si>
    <t>(589)292-0100</t>
  </si>
  <si>
    <t>Williamsberg</t>
  </si>
  <si>
    <t>Brenda Ayers</t>
  </si>
  <si>
    <t>291.967.2247</t>
  </si>
  <si>
    <t>Jefferyberg</t>
  </si>
  <si>
    <t>Larry Sosa</t>
  </si>
  <si>
    <t>001-300-643-5409x25987</t>
  </si>
  <si>
    <t>North Philip</t>
  </si>
  <si>
    <t>Ashlee Sanchez</t>
  </si>
  <si>
    <t>(328)718-4534x4915</t>
  </si>
  <si>
    <t>Humphreyfort</t>
  </si>
  <si>
    <t>Sandra Salinas</t>
  </si>
  <si>
    <t>001-355-469-0968x40140</t>
  </si>
  <si>
    <t>Sawyerport</t>
  </si>
  <si>
    <t>Sierra Curry</t>
  </si>
  <si>
    <t>665.552.8413x0353</t>
  </si>
  <si>
    <t>Stephaniestad</t>
  </si>
  <si>
    <t>Andrew Mooney</t>
  </si>
  <si>
    <t>383-433-9215x8833</t>
  </si>
  <si>
    <t>Port Amymouth</t>
  </si>
  <si>
    <t>Anthony Harrison</t>
  </si>
  <si>
    <t>612.457.9385x486</t>
  </si>
  <si>
    <t>Parkerhaven</t>
  </si>
  <si>
    <t>Paul Adams</t>
  </si>
  <si>
    <t>(739)365-1127</t>
  </si>
  <si>
    <t>South Jamesport</t>
  </si>
  <si>
    <t>Michelle Long</t>
  </si>
  <si>
    <t>237.696.0842</t>
  </si>
  <si>
    <t>New Tylertown</t>
  </si>
  <si>
    <t>Rebecca Santos</t>
  </si>
  <si>
    <t>210-719-0344</t>
  </si>
  <si>
    <t>Amberbury</t>
  </si>
  <si>
    <t>Jim Mayo</t>
  </si>
  <si>
    <t>(569)292-6839</t>
  </si>
  <si>
    <t>Paulmouth</t>
  </si>
  <si>
    <t>Beverly Schmidt</t>
  </si>
  <si>
    <t>+1-418-434-2105x2263</t>
  </si>
  <si>
    <t>West Bradleyside</t>
  </si>
  <si>
    <t>Ryan Thomas</t>
  </si>
  <si>
    <t>(506)219-9032x849</t>
  </si>
  <si>
    <t>Peterville</t>
  </si>
  <si>
    <t>Keith Lamb</t>
  </si>
  <si>
    <t>001-728-551-4730x834</t>
  </si>
  <si>
    <t>Garrettberg</t>
  </si>
  <si>
    <t>John Rogers</t>
  </si>
  <si>
    <t>355.345.8526</t>
  </si>
  <si>
    <t>Sarashire</t>
  </si>
  <si>
    <t>Alejandro Ponce</t>
  </si>
  <si>
    <t>New Robertborough</t>
  </si>
  <si>
    <t>Craig Lopez</t>
  </si>
  <si>
    <t>(646)848-4219x186</t>
  </si>
  <si>
    <t>Victorialand</t>
  </si>
  <si>
    <t>Kendra Brown</t>
  </si>
  <si>
    <t>(279)941-6517</t>
  </si>
  <si>
    <t>Meyerfort</t>
  </si>
  <si>
    <t>Brian Powell DDS</t>
  </si>
  <si>
    <t>South Monicaville</t>
  </si>
  <si>
    <t>Robert Cuevas</t>
  </si>
  <si>
    <t>(925)309-1147</t>
  </si>
  <si>
    <t>New Sean</t>
  </si>
  <si>
    <t>Stephen James</t>
  </si>
  <si>
    <t>695-874-1583x463</t>
  </si>
  <si>
    <t>Stonefurt</t>
  </si>
  <si>
    <t>Rachel Carr DDS</t>
  </si>
  <si>
    <t>New Jesuschester</t>
  </si>
  <si>
    <t>Joshua Bridges</t>
  </si>
  <si>
    <t>001-311-713-2352</t>
  </si>
  <si>
    <t>Wendyside</t>
  </si>
  <si>
    <t>Ricky Murillo</t>
  </si>
  <si>
    <t>(472)658-2118</t>
  </si>
  <si>
    <t>Lake Anna</t>
  </si>
  <si>
    <t>Heidi Campbell</t>
  </si>
  <si>
    <t>001-781-815-1165x581</t>
  </si>
  <si>
    <t>Dawnton</t>
  </si>
  <si>
    <t>John Villanueva</t>
  </si>
  <si>
    <t>750.320.1009x368</t>
  </si>
  <si>
    <t>Chrismouth</t>
  </si>
  <si>
    <t>Randy Murray</t>
  </si>
  <si>
    <t>394.771.1030x43037</t>
  </si>
  <si>
    <t>Helenborough</t>
  </si>
  <si>
    <t>Elizabeth Harper</t>
  </si>
  <si>
    <t>275-759-8208x192</t>
  </si>
  <si>
    <t>Paulshire</t>
  </si>
  <si>
    <t>William Rodriguez</t>
  </si>
  <si>
    <t>470-914-2993</t>
  </si>
  <si>
    <t>New Jaredview</t>
  </si>
  <si>
    <t>Leslie Wong</t>
  </si>
  <si>
    <t>001-438-614-5778x3882</t>
  </si>
  <si>
    <t>West Suzanneburgh</t>
  </si>
  <si>
    <t>William Mccarthy</t>
  </si>
  <si>
    <t>(509)454-0078</t>
  </si>
  <si>
    <t>New Christophermouth</t>
  </si>
  <si>
    <t>Brenda Mcconnell</t>
  </si>
  <si>
    <t>827.864.0895x6133</t>
  </si>
  <si>
    <t>East Jaredborough</t>
  </si>
  <si>
    <t>Anthony Scott</t>
  </si>
  <si>
    <t>442.855.8055</t>
  </si>
  <si>
    <t>Cindybury</t>
  </si>
  <si>
    <t>Ashley Farmer</t>
  </si>
  <si>
    <t>001-231-426-9031</t>
  </si>
  <si>
    <t>North Charles</t>
  </si>
  <si>
    <t>Melissa Hill</t>
  </si>
  <si>
    <t>(477)669-7755x7760</t>
  </si>
  <si>
    <t>Meganbury</t>
  </si>
  <si>
    <t>James Pace</t>
  </si>
  <si>
    <t>516-331-4891x084</t>
  </si>
  <si>
    <t>Rowechester</t>
  </si>
  <si>
    <t>Adrian Mosley</t>
  </si>
  <si>
    <t>(386)217-5168x68496</t>
  </si>
  <si>
    <t>Paynefurt</t>
  </si>
  <si>
    <t>Henry Hayes</t>
  </si>
  <si>
    <t>603.468.0247x420</t>
  </si>
  <si>
    <t>Terribury</t>
  </si>
  <si>
    <t>Craig Richards</t>
  </si>
  <si>
    <t>(295)821-1908</t>
  </si>
  <si>
    <t>Lake Jonathon</t>
  </si>
  <si>
    <t>Sarah Green</t>
  </si>
  <si>
    <t>001-331-228-5405</t>
  </si>
  <si>
    <t>Port Emily</t>
  </si>
  <si>
    <t>Allison Jones</t>
  </si>
  <si>
    <t>880-619-3279x0113</t>
  </si>
  <si>
    <t>North Christopherfort</t>
  </si>
  <si>
    <t>Donald Graham MD</t>
  </si>
  <si>
    <t>330-256-4744x0621</t>
  </si>
  <si>
    <t>Wendytown</t>
  </si>
  <si>
    <t>Loretta Stewart</t>
  </si>
  <si>
    <t>Stevefort</t>
  </si>
  <si>
    <t>Martin Lee</t>
  </si>
  <si>
    <t>(615)226-7367x187</t>
  </si>
  <si>
    <t>Jeffreyfort</t>
  </si>
  <si>
    <t>Anthony Dawson</t>
  </si>
  <si>
    <t>(755)971-5885x1529</t>
  </si>
  <si>
    <t>New Catherinechester</t>
  </si>
  <si>
    <t>Steven Mueller</t>
  </si>
  <si>
    <t>+1-756-217-9656x08407</t>
  </si>
  <si>
    <t>Heatherstad</t>
  </si>
  <si>
    <t>Nicholas Lee</t>
  </si>
  <si>
    <t>North Eric</t>
  </si>
  <si>
    <t>Tracy Burns</t>
  </si>
  <si>
    <t>+1-351-996-4716x09829</t>
  </si>
  <si>
    <t>North Brian</t>
  </si>
  <si>
    <t>Brandon Randall</t>
  </si>
  <si>
    <t>Lindachester</t>
  </si>
  <si>
    <t>Madison Anderson</t>
  </si>
  <si>
    <t>420.617.8293x99351</t>
  </si>
  <si>
    <t>North Stephanieland</t>
  </si>
  <si>
    <t>Jessica Schroeder</t>
  </si>
  <si>
    <t>+1-220-698-6104x144</t>
  </si>
  <si>
    <t>Lake Erikport</t>
  </si>
  <si>
    <t>Brenda Byrd</t>
  </si>
  <si>
    <t>+1-808-592-0078x385</t>
  </si>
  <si>
    <t>Pattersonshire</t>
  </si>
  <si>
    <t>Jeremy Harrell</t>
  </si>
  <si>
    <t>North Gary</t>
  </si>
  <si>
    <t>Joseph Swanson Jr.</t>
  </si>
  <si>
    <t>(785)824-3751x42687</t>
  </si>
  <si>
    <t>Susanberg</t>
  </si>
  <si>
    <t>Donald Mcdonald</t>
  </si>
  <si>
    <t>001-735-733-2398x97867</t>
  </si>
  <si>
    <t>Ingramville</t>
  </si>
  <si>
    <t>Kimberly Krueger</t>
  </si>
  <si>
    <t>+1-370-949-4198x203</t>
  </si>
  <si>
    <t>South Katrina</t>
  </si>
  <si>
    <t>Alexis Jordan</t>
  </si>
  <si>
    <t>001-326-346-1050x75973</t>
  </si>
  <si>
    <t>South Tonyaland</t>
  </si>
  <si>
    <t>Sara Wilson</t>
  </si>
  <si>
    <t>(576)974-8978x2272</t>
  </si>
  <si>
    <t>Colemanshire</t>
  </si>
  <si>
    <t>Michael Berry</t>
  </si>
  <si>
    <t>709.643.1559x591</t>
  </si>
  <si>
    <t>New Ashleyshire</t>
  </si>
  <si>
    <t>Caleb Owens</t>
  </si>
  <si>
    <t>001-834-886-4211</t>
  </si>
  <si>
    <t>Kathybury</t>
  </si>
  <si>
    <t>Christopher Hughes</t>
  </si>
  <si>
    <t>Rachelport</t>
  </si>
  <si>
    <t>Julie Morris</t>
  </si>
  <si>
    <t>966-954-5706x96317</t>
  </si>
  <si>
    <t>Sarahmouth</t>
  </si>
  <si>
    <t>Philip Johnson</t>
  </si>
  <si>
    <t>+1-440-945-9360x543</t>
  </si>
  <si>
    <t>Weaverburgh</t>
  </si>
  <si>
    <t>Sherry Long</t>
  </si>
  <si>
    <t>001-611-996-9988x54101</t>
  </si>
  <si>
    <t>Smithburgh</t>
  </si>
  <si>
    <t>Laurie Williams</t>
  </si>
  <si>
    <t>992.243.0391x2811</t>
  </si>
  <si>
    <t>Weberland</t>
  </si>
  <si>
    <t>George Dalton</t>
  </si>
  <si>
    <t>750-341-2251</t>
  </si>
  <si>
    <t>Mullinsstad</t>
  </si>
  <si>
    <t>Thomas Simpson</t>
  </si>
  <si>
    <t>+1-595-596-3901x6216</t>
  </si>
  <si>
    <t>Lake Seanborough</t>
  </si>
  <si>
    <t>Shannon Dawson</t>
  </si>
  <si>
    <t>+1-606-281-1794x7314</t>
  </si>
  <si>
    <t>Hoffmanhaven</t>
  </si>
  <si>
    <t>Andrew Mccoy</t>
  </si>
  <si>
    <t>001-816-966-4427x171</t>
  </si>
  <si>
    <t>North Frank</t>
  </si>
  <si>
    <t>Karen Smith</t>
  </si>
  <si>
    <t>+1-242-996-4329x3932</t>
  </si>
  <si>
    <t>Lake Stevenfurt</t>
  </si>
  <si>
    <t>Christopher Wilson</t>
  </si>
  <si>
    <t>(321)210-4111x1825</t>
  </si>
  <si>
    <t>Jonesmouth</t>
  </si>
  <si>
    <t>Jeremy Allen</t>
  </si>
  <si>
    <t>West Erik</t>
  </si>
  <si>
    <t>Pamela Medina</t>
  </si>
  <si>
    <t>West Blakeland</t>
  </si>
  <si>
    <t>Colton Sanchez</t>
  </si>
  <si>
    <t>001-477-935-7915x13278</t>
  </si>
  <si>
    <t>Hammondton</t>
  </si>
  <si>
    <t>Tonya Woodward</t>
  </si>
  <si>
    <t>(846)984-5354x82436</t>
  </si>
  <si>
    <t>South Rebecca</t>
  </si>
  <si>
    <t>Lauren Walker</t>
  </si>
  <si>
    <t>North Austinchester</t>
  </si>
  <si>
    <t>Anna Rogers</t>
  </si>
  <si>
    <t>321-986-9697x161</t>
  </si>
  <si>
    <t>Harrisview</t>
  </si>
  <si>
    <t>Daniel Bailey PhD</t>
  </si>
  <si>
    <t>+1-235-572-6412x153</t>
  </si>
  <si>
    <t>West Mary</t>
  </si>
  <si>
    <t>Donna Johnson</t>
  </si>
  <si>
    <t>(788)959-6808x14467</t>
  </si>
  <si>
    <t>Jillhaven</t>
  </si>
  <si>
    <t>Joshua Morse</t>
  </si>
  <si>
    <t>755.947.3848x717</t>
  </si>
  <si>
    <t>West Angelatown</t>
  </si>
  <si>
    <t>Cathy Gordon</t>
  </si>
  <si>
    <t>599-792-4893x16269</t>
  </si>
  <si>
    <t>West Jennifertown</t>
  </si>
  <si>
    <t>Wendy Castillo</t>
  </si>
  <si>
    <t>001-457-581-8842x13557</t>
  </si>
  <si>
    <t>East Dawnside</t>
  </si>
  <si>
    <t>Hector Watson</t>
  </si>
  <si>
    <t>001-898-571-2652x72924</t>
  </si>
  <si>
    <t>Averymouth</t>
  </si>
  <si>
    <t>Nathan Shepherd</t>
  </si>
  <si>
    <t>366.467.9526</t>
  </si>
  <si>
    <t>Lake Kyliefurt</t>
  </si>
  <si>
    <t>Katie Tran</t>
  </si>
  <si>
    <t>469.561.8036x61713</t>
  </si>
  <si>
    <t>Lake Stacymouth</t>
  </si>
  <si>
    <t>Lindsey King</t>
  </si>
  <si>
    <t>001-259-299-7571x3364</t>
  </si>
  <si>
    <t>New Dylan</t>
  </si>
  <si>
    <t>Brian Carter</t>
  </si>
  <si>
    <t>(936)925-7550</t>
  </si>
  <si>
    <t>East Jacobberg</t>
  </si>
  <si>
    <t>Catherine Rodriguez</t>
  </si>
  <si>
    <t>336-538-4381x5589</t>
  </si>
  <si>
    <t>Troyton</t>
  </si>
  <si>
    <t>Summer Carr</t>
  </si>
  <si>
    <t>+1-225-577-7447x912</t>
  </si>
  <si>
    <t>Port Richardbury</t>
  </si>
  <si>
    <t>Keith Shepherd</t>
  </si>
  <si>
    <t>+1-934-218-1759x47944</t>
  </si>
  <si>
    <t>North Katrina</t>
  </si>
  <si>
    <t>Andrew Andrews</t>
  </si>
  <si>
    <t>+1-678-286-8512x1841</t>
  </si>
  <si>
    <t>North Phillipport</t>
  </si>
  <si>
    <t>Mary Lopez</t>
  </si>
  <si>
    <t>870.946.8278x150</t>
  </si>
  <si>
    <t>New Markchester</t>
  </si>
  <si>
    <t>Michael Harrell</t>
  </si>
  <si>
    <t>+1-793-503-1752x6772</t>
  </si>
  <si>
    <t>South Jeremiahbury</t>
  </si>
  <si>
    <t>Jonathan Vasquez</t>
  </si>
  <si>
    <t>(694)723-1232x69531</t>
  </si>
  <si>
    <t>Port Miranda</t>
  </si>
  <si>
    <t>Dawn Becker</t>
  </si>
  <si>
    <t>+1-830-512-9419x9752</t>
  </si>
  <si>
    <t>North Tonystad</t>
  </si>
  <si>
    <t>Brenda Lopez</t>
  </si>
  <si>
    <t>+1-816-816-1231x1678</t>
  </si>
  <si>
    <t>Lake Jeremy</t>
  </si>
  <si>
    <t>Paul Mason</t>
  </si>
  <si>
    <t>(848)366-6425</t>
  </si>
  <si>
    <t>Port Davidside</t>
  </si>
  <si>
    <t>Noah Lucas</t>
  </si>
  <si>
    <t>001-886-221-8185</t>
  </si>
  <si>
    <t>Meganchester</t>
  </si>
  <si>
    <t>Tamara Cohen</t>
  </si>
  <si>
    <t>Caitlinfurt</t>
  </si>
  <si>
    <t>Robert Trevino</t>
  </si>
  <si>
    <t>East Karenshire</t>
  </si>
  <si>
    <t>Victoria Wright</t>
  </si>
  <si>
    <t>793.282.2888</t>
  </si>
  <si>
    <t>Antoniomouth</t>
  </si>
  <si>
    <t>Lauren Thomas</t>
  </si>
  <si>
    <t>+1-518-250-0714x446</t>
  </si>
  <si>
    <t>Pattonport</t>
  </si>
  <si>
    <t>Mark Davis</t>
  </si>
  <si>
    <t>719.512.4044</t>
  </si>
  <si>
    <t>Ramosstad</t>
  </si>
  <si>
    <t>Amanda Martin</t>
  </si>
  <si>
    <t>+1-739-950-7552x34233</t>
  </si>
  <si>
    <t>Lake Denise</t>
  </si>
  <si>
    <t>Christopher Brock</t>
  </si>
  <si>
    <t>South Brian</t>
  </si>
  <si>
    <t>Nina Vance</t>
  </si>
  <si>
    <t>846.882.4239x654</t>
  </si>
  <si>
    <t>West Amandaport</t>
  </si>
  <si>
    <t>Rachel Richardson MD</t>
  </si>
  <si>
    <t>(577)725-3307</t>
  </si>
  <si>
    <t>Williamsborough</t>
  </si>
  <si>
    <t>Howard Powers</t>
  </si>
  <si>
    <t>+1-795-780-1777x66988</t>
  </si>
  <si>
    <t>Port Beth</t>
  </si>
  <si>
    <t>Marco Payne</t>
  </si>
  <si>
    <t>+1-369-737-2428x5917</t>
  </si>
  <si>
    <t>Santanaview</t>
  </si>
  <si>
    <t>Scott Greene</t>
  </si>
  <si>
    <t>001-477-804-7106</t>
  </si>
  <si>
    <t>Barrerabury</t>
  </si>
  <si>
    <t>Matthew Scott</t>
  </si>
  <si>
    <t>+1-518-943-5334x3461</t>
  </si>
  <si>
    <t>West Thomaston</t>
  </si>
  <si>
    <t>Stephen Harper</t>
  </si>
  <si>
    <t>Jenniferton</t>
  </si>
  <si>
    <t>Melanie Evans</t>
  </si>
  <si>
    <t>610-623-1024x14842</t>
  </si>
  <si>
    <t>Port Michaelbury</t>
  </si>
  <si>
    <t>Andrew Ruiz</t>
  </si>
  <si>
    <t>378-263-6335x7552</t>
  </si>
  <si>
    <t>Marialand</t>
  </si>
  <si>
    <t>Edwin Owens</t>
  </si>
  <si>
    <t>+1-854-520-6932x3211</t>
  </si>
  <si>
    <t>Lake Emily</t>
  </si>
  <si>
    <t>Scott Roberts</t>
  </si>
  <si>
    <t>294.605.5948</t>
  </si>
  <si>
    <t>Danielview</t>
  </si>
  <si>
    <t>Robert Richards</t>
  </si>
  <si>
    <t>+1-271-387-2365x7429</t>
  </si>
  <si>
    <t>Loriside</t>
  </si>
  <si>
    <t>Karen Fuentes</t>
  </si>
  <si>
    <t>893.971.7656x65684</t>
  </si>
  <si>
    <t>Guzmanville</t>
  </si>
  <si>
    <t>John Ball</t>
  </si>
  <si>
    <t>+1-978-248-4236x66686</t>
  </si>
  <si>
    <t>Port Michael</t>
  </si>
  <si>
    <t>Kathryn Smith</t>
  </si>
  <si>
    <t>East Tyler</t>
  </si>
  <si>
    <t>April Dalton</t>
  </si>
  <si>
    <t>504-875-7059x06062</t>
  </si>
  <si>
    <t>Andrewville</t>
  </si>
  <si>
    <t>Deborah Olson</t>
  </si>
  <si>
    <t>780.405.4168</t>
  </si>
  <si>
    <t>West Melissa</t>
  </si>
  <si>
    <t>Timothy Cooper</t>
  </si>
  <si>
    <t>829.524.8648x36089</t>
  </si>
  <si>
    <t>Archermouth</t>
  </si>
  <si>
    <t>Rachel Young</t>
  </si>
  <si>
    <t>Lake Maryside</t>
  </si>
  <si>
    <t>Patricia Hodges</t>
  </si>
  <si>
    <t>+1-211-535-4209x71251</t>
  </si>
  <si>
    <t>South Amber</t>
  </si>
  <si>
    <t>Daniel Costa</t>
  </si>
  <si>
    <t>848.619.3931</t>
  </si>
  <si>
    <t>Delgadobury</t>
  </si>
  <si>
    <t>Ronald Cruz</t>
  </si>
  <si>
    <t>876.911.2733x11166</t>
  </si>
  <si>
    <t>West Brucehaven</t>
  </si>
  <si>
    <t>Mr. Brandon Preston</t>
  </si>
  <si>
    <t>401-482-4318x59168</t>
  </si>
  <si>
    <t>Kimberlybury</t>
  </si>
  <si>
    <t>Chad Ramos</t>
  </si>
  <si>
    <t>(211)283-0773</t>
  </si>
  <si>
    <t>New Billy</t>
  </si>
  <si>
    <t>Olivia Evans</t>
  </si>
  <si>
    <t>001-560-865-4083x915</t>
  </si>
  <si>
    <t>Campbellbury</t>
  </si>
  <si>
    <t>Autumn Pena</t>
  </si>
  <si>
    <t>310-874-0700</t>
  </si>
  <si>
    <t>Davenportberg</t>
  </si>
  <si>
    <t>Kristen Jones</t>
  </si>
  <si>
    <t>(543)958-4716x214</t>
  </si>
  <si>
    <t>North Brianna</t>
  </si>
  <si>
    <t>Jade Jacobs</t>
  </si>
  <si>
    <t>(936)583-2541x1003</t>
  </si>
  <si>
    <t>Davidton</t>
  </si>
  <si>
    <t>Carla Robinson</t>
  </si>
  <si>
    <t>+1-271-643-9840x84772</t>
  </si>
  <si>
    <t>New Evan</t>
  </si>
  <si>
    <t>Matthew Murillo</t>
  </si>
  <si>
    <t>+1-201-997-8950x847</t>
  </si>
  <si>
    <t>Williammouth</t>
  </si>
  <si>
    <t>Robin Hodges</t>
  </si>
  <si>
    <t>557.709.7082</t>
  </si>
  <si>
    <t>Marcland</t>
  </si>
  <si>
    <t>Paul Odom</t>
  </si>
  <si>
    <t>+1-616-949-2733x41162</t>
  </si>
  <si>
    <t>Camposside</t>
  </si>
  <si>
    <t>Roberto Cochran</t>
  </si>
  <si>
    <t>470.640.6479</t>
  </si>
  <si>
    <t>Robinsonview</t>
  </si>
  <si>
    <t>Christina Mcknight</t>
  </si>
  <si>
    <t>(890)376-7015x1921</t>
  </si>
  <si>
    <t>East Laura</t>
  </si>
  <si>
    <t>William Huynh</t>
  </si>
  <si>
    <t>(906)235-5776x6350</t>
  </si>
  <si>
    <t>South Ronaldland</t>
  </si>
  <si>
    <t>Rodney Crosby</t>
  </si>
  <si>
    <t>260-612-9508x549</t>
  </si>
  <si>
    <t>Port Terristad</t>
  </si>
  <si>
    <t>Mariah Ross</t>
  </si>
  <si>
    <t>+1-880-551-0122x7312</t>
  </si>
  <si>
    <t>Mcbrideshire</t>
  </si>
  <si>
    <t>Gina Martin</t>
  </si>
  <si>
    <t>East Kimberly</t>
  </si>
  <si>
    <t>Robert Savage</t>
  </si>
  <si>
    <t>001-295-442-1630</t>
  </si>
  <si>
    <t>Allenside</t>
  </si>
  <si>
    <t>Carla Martinez</t>
  </si>
  <si>
    <t>519-526-6729</t>
  </si>
  <si>
    <t>Lake Kimberly</t>
  </si>
  <si>
    <t>Heather Richardson</t>
  </si>
  <si>
    <t>(769)746-0591x80523</t>
  </si>
  <si>
    <t>North Ashleyside</t>
  </si>
  <si>
    <t>Marc Carrillo</t>
  </si>
  <si>
    <t>955.716.2888</t>
  </si>
  <si>
    <t>Roseton</t>
  </si>
  <si>
    <t>Tammy Murphy</t>
  </si>
  <si>
    <t>001-511-868-6758x8230</t>
  </si>
  <si>
    <t>East Elizabethville</t>
  </si>
  <si>
    <t>Madison Pham</t>
  </si>
  <si>
    <t>949.898.0020</t>
  </si>
  <si>
    <t>Port Daniel</t>
  </si>
  <si>
    <t>Charles Diaz</t>
  </si>
  <si>
    <t>Nathan Hill</t>
  </si>
  <si>
    <t>719.801.8771x998</t>
  </si>
  <si>
    <t>East Brittany</t>
  </si>
  <si>
    <t>Samuel Wells</t>
  </si>
  <si>
    <t>+1-986-565-6997x7071</t>
  </si>
  <si>
    <t>Nancybury</t>
  </si>
  <si>
    <t>Amy Williams</t>
  </si>
  <si>
    <t>395.947.4531</t>
  </si>
  <si>
    <t>Copelandberg</t>
  </si>
  <si>
    <t>Molly Robles</t>
  </si>
  <si>
    <t>001-483-845-9418x93646</t>
  </si>
  <si>
    <t>Harrisonmouth</t>
  </si>
  <si>
    <t>Kimberly Lopez</t>
  </si>
  <si>
    <t>219-607-8890x8585</t>
  </si>
  <si>
    <t>New Philipshire</t>
  </si>
  <si>
    <t>Amanda Moore</t>
  </si>
  <si>
    <t>949-381-1192x6466</t>
  </si>
  <si>
    <t>South Andrewland</t>
  </si>
  <si>
    <t>Samantha Williams</t>
  </si>
  <si>
    <t>744-890-6143x07833</t>
  </si>
  <si>
    <t>Parksmouth</t>
  </si>
  <si>
    <t>Judy Allen</t>
  </si>
  <si>
    <t>306-495-6355x67774</t>
  </si>
  <si>
    <t>East Devon</t>
  </si>
  <si>
    <t>Elizabeth Spencer</t>
  </si>
  <si>
    <t>001-810-787-3114x88052</t>
  </si>
  <si>
    <t>Lake Ashleystad</t>
  </si>
  <si>
    <t>Ashley Hall</t>
  </si>
  <si>
    <t>+1-623-558-1715x52978</t>
  </si>
  <si>
    <t>New Dianetown</t>
  </si>
  <si>
    <t>Jason Wu</t>
  </si>
  <si>
    <t>(340)658-8105x294</t>
  </si>
  <si>
    <t>West Ashleyfurt</t>
  </si>
  <si>
    <t>Ashley Thomas</t>
  </si>
  <si>
    <t>392.596.5305</t>
  </si>
  <si>
    <t>Valdezstad</t>
  </si>
  <si>
    <t>Brittany Johnson</t>
  </si>
  <si>
    <t>(717)410-6277</t>
  </si>
  <si>
    <t>Port Martinland</t>
  </si>
  <si>
    <t>Samuel Cook</t>
  </si>
  <si>
    <t>376.285.2822</t>
  </si>
  <si>
    <t>North Keith</t>
  </si>
  <si>
    <t>Randy Pearson</t>
  </si>
  <si>
    <t>301-446-0102</t>
  </si>
  <si>
    <t>West Benjaminmouth</t>
  </si>
  <si>
    <t>Ronald Fisher</t>
  </si>
  <si>
    <t>985.908.8056x246</t>
  </si>
  <si>
    <t>Phillipsview</t>
  </si>
  <si>
    <t>Frank Smith</t>
  </si>
  <si>
    <t>991-538-0333</t>
  </si>
  <si>
    <t>North Marcmouth</t>
  </si>
  <si>
    <t>Samuel Harrison</t>
  </si>
  <si>
    <t>001-838-978-2221x68759</t>
  </si>
  <si>
    <t>New Johnton</t>
  </si>
  <si>
    <t>Tina Goodman</t>
  </si>
  <si>
    <t>(409)445-2099x7194</t>
  </si>
  <si>
    <t>New Walter</t>
  </si>
  <si>
    <t>Gary Burnett</t>
  </si>
  <si>
    <t>628.646.1068</t>
  </si>
  <si>
    <t>West Rachelview</t>
  </si>
  <si>
    <t>Derrick Clark</t>
  </si>
  <si>
    <t>+1-470-329-4894x899</t>
  </si>
  <si>
    <t>Joeshire</t>
  </si>
  <si>
    <t>Veronica Hughes</t>
  </si>
  <si>
    <t>522-823-5124x80084</t>
  </si>
  <si>
    <t>Albertchester</t>
  </si>
  <si>
    <t>Anthony Ho</t>
  </si>
  <si>
    <t>001-850-906-0736x766</t>
  </si>
  <si>
    <t>Port Lauriebury</t>
  </si>
  <si>
    <t>Carrie Smith</t>
  </si>
  <si>
    <t>North Johnmouth</t>
  </si>
  <si>
    <t>Samantha Bass</t>
  </si>
  <si>
    <t>001-964-405-5381</t>
  </si>
  <si>
    <t>Jerrymouth</t>
  </si>
  <si>
    <t>Steven Valencia</t>
  </si>
  <si>
    <t>Cynthiaberg</t>
  </si>
  <si>
    <t>Sarah Walker</t>
  </si>
  <si>
    <t>+1-456-790-7353x8351</t>
  </si>
  <si>
    <t>New Kayla</t>
  </si>
  <si>
    <t>Gabrielle Kemp</t>
  </si>
  <si>
    <t>Port Sharonview</t>
  </si>
  <si>
    <t>Anne Stewart</t>
  </si>
  <si>
    <t>(853)895-3879x26662</t>
  </si>
  <si>
    <t>Roberthaven</t>
  </si>
  <si>
    <t>Brian Sanders</t>
  </si>
  <si>
    <t>484-636-1397x152</t>
  </si>
  <si>
    <t>Masonmouth</t>
  </si>
  <si>
    <t>Kathy Walsh</t>
  </si>
  <si>
    <t>East Dianefort</t>
  </si>
  <si>
    <t>Juan Martinez</t>
  </si>
  <si>
    <t>(925)749-1481</t>
  </si>
  <si>
    <t>Morganhaven</t>
  </si>
  <si>
    <t>Grant King</t>
  </si>
  <si>
    <t>253-941-0337</t>
  </si>
  <si>
    <t>Martinezville</t>
  </si>
  <si>
    <t>Jessica Oliver</t>
  </si>
  <si>
    <t>(587)913-0148</t>
  </si>
  <si>
    <t>Hernandezhaven</t>
  </si>
  <si>
    <t>Karina Wright</t>
  </si>
  <si>
    <t>509.807.4707</t>
  </si>
  <si>
    <t>Port Frances</t>
  </si>
  <si>
    <t>Jennifer Bates</t>
  </si>
  <si>
    <t>001-732-596-9774</t>
  </si>
  <si>
    <t>New Kimberlyfort</t>
  </si>
  <si>
    <t>Katrina Perry</t>
  </si>
  <si>
    <t>(386)594-4833x896</t>
  </si>
  <si>
    <t>West Markchester</t>
  </si>
  <si>
    <t>Eric Weiss</t>
  </si>
  <si>
    <t>919.686.9172x29584</t>
  </si>
  <si>
    <t>West Kristinton</t>
  </si>
  <si>
    <t>Courtney Lynch</t>
  </si>
  <si>
    <t>+1-683-370-5724x1306</t>
  </si>
  <si>
    <t>West Amychester</t>
  </si>
  <si>
    <t>Erik Reed</t>
  </si>
  <si>
    <t>+1-641-306-3481x261</t>
  </si>
  <si>
    <t>New Eric</t>
  </si>
  <si>
    <t>Rodney Patterson</t>
  </si>
  <si>
    <t>(699)282-9801x37637</t>
  </si>
  <si>
    <t>Rodriguezhaven</t>
  </si>
  <si>
    <t>Patrick Ortiz</t>
  </si>
  <si>
    <t>818.409.6593x51451</t>
  </si>
  <si>
    <t>East Josephmouth</t>
  </si>
  <si>
    <t>Joy Bradford</t>
  </si>
  <si>
    <t>+1-672-217-2111x29630</t>
  </si>
  <si>
    <t>Hendricksstad</t>
  </si>
  <si>
    <t>Michael Ford</t>
  </si>
  <si>
    <t>+1-532-483-3633x66883</t>
  </si>
  <si>
    <t>Vanessabury</t>
  </si>
  <si>
    <t>Devin Schaefer</t>
  </si>
  <si>
    <t>+1-783-655-5513x685</t>
  </si>
  <si>
    <t>New Connorchester</t>
  </si>
  <si>
    <t>Chloe Barton DVM</t>
  </si>
  <si>
    <t>994-987-3235</t>
  </si>
  <si>
    <t>Loganfurt</t>
  </si>
  <si>
    <t>Alicia Ramirez</t>
  </si>
  <si>
    <t>774.879.6432</t>
  </si>
  <si>
    <t>Lake Laura</t>
  </si>
  <si>
    <t>Christopher Stein</t>
  </si>
  <si>
    <t>East Shelley</t>
  </si>
  <si>
    <t>Ryan Douglas</t>
  </si>
  <si>
    <t>(963)449-0662x6805</t>
  </si>
  <si>
    <t>Christinaport</t>
  </si>
  <si>
    <t>Kevin Lloyd</t>
  </si>
  <si>
    <t>233.740.3673x9875</t>
  </si>
  <si>
    <t>West Glen</t>
  </si>
  <si>
    <t>Nicholas Padilla</t>
  </si>
  <si>
    <t>758-948-6360x532</t>
  </si>
  <si>
    <t>East Kristimouth</t>
  </si>
  <si>
    <t>Joel White</t>
  </si>
  <si>
    <t>761-635-2681x327</t>
  </si>
  <si>
    <t>Floresshire</t>
  </si>
  <si>
    <t>William Rice</t>
  </si>
  <si>
    <t>001-621-254-9663x85571</t>
  </si>
  <si>
    <t>Richardport</t>
  </si>
  <si>
    <t>Jessica Williams</t>
  </si>
  <si>
    <t>914-681-0597x3743</t>
  </si>
  <si>
    <t>South Justinmouth</t>
  </si>
  <si>
    <t>Kristine Snyder</t>
  </si>
  <si>
    <t>369-279-7145x122</t>
  </si>
  <si>
    <t>Port David</t>
  </si>
  <si>
    <t>Rachel Cole</t>
  </si>
  <si>
    <t>(730)967-3661</t>
  </si>
  <si>
    <t>North Matthew</t>
  </si>
  <si>
    <t>Bobby Nguyen</t>
  </si>
  <si>
    <t>001-629-309-8708</t>
  </si>
  <si>
    <t>Port Colinmouth</t>
  </si>
  <si>
    <t>Marc Wallace</t>
  </si>
  <si>
    <t>(650)884-5072x424</t>
  </si>
  <si>
    <t>South Kimberlyport</t>
  </si>
  <si>
    <t>Jennifer Singleton</t>
  </si>
  <si>
    <t>677-975-8935x0236</t>
  </si>
  <si>
    <t>Hughesbury</t>
  </si>
  <si>
    <t>Stephen Herrera</t>
  </si>
  <si>
    <t>390.483.5023x967</t>
  </si>
  <si>
    <t>Ellisburgh</t>
  </si>
  <si>
    <t>Lori Morales</t>
  </si>
  <si>
    <t>330-987-9860x967</t>
  </si>
  <si>
    <t>Markshire</t>
  </si>
  <si>
    <t>Nicholas Rogers</t>
  </si>
  <si>
    <t>526.386.5407x613</t>
  </si>
  <si>
    <t>Santiagomouth</t>
  </si>
  <si>
    <t>Maria Brown</t>
  </si>
  <si>
    <t>240-668-8155</t>
  </si>
  <si>
    <t>West Lorettaport</t>
  </si>
  <si>
    <t>Stephanie Thomas</t>
  </si>
  <si>
    <t>365.341.5391x32160</t>
  </si>
  <si>
    <t>Lake Jamesland</t>
  </si>
  <si>
    <t>Mary Pennington</t>
  </si>
  <si>
    <t>502.744.6667x49697</t>
  </si>
  <si>
    <t>Lauraside</t>
  </si>
  <si>
    <t>Joseph Mora</t>
  </si>
  <si>
    <t>001-362-495-4278x9358</t>
  </si>
  <si>
    <t>Taylorbury</t>
  </si>
  <si>
    <t>Joyce Vance</t>
  </si>
  <si>
    <t>651-210-9460</t>
  </si>
  <si>
    <t>Port Joelton</t>
  </si>
  <si>
    <t>Brian Pratt MD</t>
  </si>
  <si>
    <t>630-210-6212x9114</t>
  </si>
  <si>
    <t>New Catherinefort</t>
  </si>
  <si>
    <t>Andrea Norton</t>
  </si>
  <si>
    <t>(498)316-7789x1625</t>
  </si>
  <si>
    <t>West Alexis</t>
  </si>
  <si>
    <t>Tyler Jones</t>
  </si>
  <si>
    <t>East Charles</t>
  </si>
  <si>
    <t>Dustin Joseph</t>
  </si>
  <si>
    <t>919-300-5976x7438</t>
  </si>
  <si>
    <t>West Josephbury</t>
  </si>
  <si>
    <t>Kevin Adams PhD</t>
  </si>
  <si>
    <t>235.225.4205x37555</t>
  </si>
  <si>
    <t>South Sarahborough</t>
  </si>
  <si>
    <t>Rachel Kelley</t>
  </si>
  <si>
    <t>(341)823-9485</t>
  </si>
  <si>
    <t>Reginaldberg</t>
  </si>
  <si>
    <t>Jennifer Hudson</t>
  </si>
  <si>
    <t>+1-458-296-3332x95887</t>
  </si>
  <si>
    <t>Huntview</t>
  </si>
  <si>
    <t>Ricky Ball</t>
  </si>
  <si>
    <t>855-845-7987x5244</t>
  </si>
  <si>
    <t>West Steven</t>
  </si>
  <si>
    <t>Susan Smith</t>
  </si>
  <si>
    <t>272-539-1835x2843</t>
  </si>
  <si>
    <t>East Kenneth</t>
  </si>
  <si>
    <t>Laura Brennan</t>
  </si>
  <si>
    <t>001-522-384-4364x617</t>
  </si>
  <si>
    <t>Lake Michael</t>
  </si>
  <si>
    <t>Anita Dean</t>
  </si>
  <si>
    <t>405-980-3825</t>
  </si>
  <si>
    <t>Williamstown</t>
  </si>
  <si>
    <t>Shawn Brooks</t>
  </si>
  <si>
    <t>897-825-8772x8739</t>
  </si>
  <si>
    <t>Jorgebury</t>
  </si>
  <si>
    <t>Tammy Trujillo</t>
  </si>
  <si>
    <t>(455)417-9126</t>
  </si>
  <si>
    <t>Caseyton</t>
  </si>
  <si>
    <t>Katherine Richardson</t>
  </si>
  <si>
    <t>(604)959-4143</t>
  </si>
  <si>
    <t>Clarkhaven</t>
  </si>
  <si>
    <t>Janet King</t>
  </si>
  <si>
    <t>001-793-509-3455x6826</t>
  </si>
  <si>
    <t>West Amy</t>
  </si>
  <si>
    <t>Christopher Garcia</t>
  </si>
  <si>
    <t>622-657-8588x304</t>
  </si>
  <si>
    <t>Burtonfurt</t>
  </si>
  <si>
    <t>Adam Ryan</t>
  </si>
  <si>
    <t>Lake Alexander</t>
  </si>
  <si>
    <t>Christopher Dillon</t>
  </si>
  <si>
    <t>415-226-7256</t>
  </si>
  <si>
    <t>West Nancyville</t>
  </si>
  <si>
    <t>Madison Jones</t>
  </si>
  <si>
    <t>978-816-8291</t>
  </si>
  <si>
    <t>Wyatthaven</t>
  </si>
  <si>
    <t>Stacy Vargas</t>
  </si>
  <si>
    <t>001-563-980-3942x76421</t>
  </si>
  <si>
    <t>Lisaville</t>
  </si>
  <si>
    <t>Taylor Gibbs</t>
  </si>
  <si>
    <t>(498)524-4275</t>
  </si>
  <si>
    <t>Michaelport</t>
  </si>
  <si>
    <t>Clarence Williams</t>
  </si>
  <si>
    <t>Port Hector</t>
  </si>
  <si>
    <t>Vanessa Anderson</t>
  </si>
  <si>
    <t>963-338-8971</t>
  </si>
  <si>
    <t>New Emilyhaven</t>
  </si>
  <si>
    <t>William Evans</t>
  </si>
  <si>
    <t>443-621-0040</t>
  </si>
  <si>
    <t>South Christopher</t>
  </si>
  <si>
    <t>Brandon Morgan MD</t>
  </si>
  <si>
    <t>296.900.1769</t>
  </si>
  <si>
    <t>Rossborough</t>
  </si>
  <si>
    <t>Jacqueline Berry</t>
  </si>
  <si>
    <t>912-562-6527x00627</t>
  </si>
  <si>
    <t>East Jennifermouth</t>
  </si>
  <si>
    <t>Mr. Jonathan Hernandez</t>
  </si>
  <si>
    <t>(303)377-8892</t>
  </si>
  <si>
    <t>West Donna</t>
  </si>
  <si>
    <t>Dr. Terry Clark</t>
  </si>
  <si>
    <t>961-397-0277x0265</t>
  </si>
  <si>
    <t>Shaneland</t>
  </si>
  <si>
    <t>Scott Castillo</t>
  </si>
  <si>
    <t>(204)864-9706x6725</t>
  </si>
  <si>
    <t>Washingtonhaven</t>
  </si>
  <si>
    <t>Amy Terrell</t>
  </si>
  <si>
    <t>001-493-487-6431</t>
  </si>
  <si>
    <t>West Emily</t>
  </si>
  <si>
    <t>Guy Morton</t>
  </si>
  <si>
    <t>663-455-5790</t>
  </si>
  <si>
    <t>East Michaelview</t>
  </si>
  <si>
    <t>Victor Ward</t>
  </si>
  <si>
    <t>(777)648-4930</t>
  </si>
  <si>
    <t>Castilloberg</t>
  </si>
  <si>
    <t>Melissa Anderson</t>
  </si>
  <si>
    <t>West Maxhaven</t>
  </si>
  <si>
    <t>Mary Williams</t>
  </si>
  <si>
    <t>+1-229-901-9809x240</t>
  </si>
  <si>
    <t>Lake Kathleenside</t>
  </si>
  <si>
    <t>David Gutierrez</t>
  </si>
  <si>
    <t>+1-361-452-8852x41564</t>
  </si>
  <si>
    <t>Chadborough</t>
  </si>
  <si>
    <t>Maria Christian</t>
  </si>
  <si>
    <t>001-326-231-8057</t>
  </si>
  <si>
    <t>Thomasside</t>
  </si>
  <si>
    <t>Nathan Stevenson</t>
  </si>
  <si>
    <t>647-949-0746x9142</t>
  </si>
  <si>
    <t>Deannaton</t>
  </si>
  <si>
    <t>Alexander Bailey</t>
  </si>
  <si>
    <t>(296)338-0100x153</t>
  </si>
  <si>
    <t>Port Jeffreyberg</t>
  </si>
  <si>
    <t>Justin Orr</t>
  </si>
  <si>
    <t>899-833-1113x669</t>
  </si>
  <si>
    <t>New Karenville</t>
  </si>
  <si>
    <t>David Wilson</t>
  </si>
  <si>
    <t>(880)313-6521x0064</t>
  </si>
  <si>
    <t>Angie Morris</t>
  </si>
  <si>
    <t>468.744.9509x576</t>
  </si>
  <si>
    <t>West Kennethborough</t>
  </si>
  <si>
    <t>William Santiago</t>
  </si>
  <si>
    <t>+1-368-618-8818x39664</t>
  </si>
  <si>
    <t>Alexander Chen</t>
  </si>
  <si>
    <t>+1-830-594-1179x73709</t>
  </si>
  <si>
    <t>Hunterstad</t>
  </si>
  <si>
    <t>Susan Scott</t>
  </si>
  <si>
    <t>484-856-5886x2025</t>
  </si>
  <si>
    <t>Port Bryan</t>
  </si>
  <si>
    <t>Tiffany Hester</t>
  </si>
  <si>
    <t>North Cynthiatown</t>
  </si>
  <si>
    <t>Patty Barry</t>
  </si>
  <si>
    <t>North Michael</t>
  </si>
  <si>
    <t>James Baker</t>
  </si>
  <si>
    <t>764.797.8277x7240</t>
  </si>
  <si>
    <t>Westchester</t>
  </si>
  <si>
    <t>Terry Cervantes</t>
  </si>
  <si>
    <t>802-649-2691</t>
  </si>
  <si>
    <t>Jeremyfort</t>
  </si>
  <si>
    <t>Aaron Garza</t>
  </si>
  <si>
    <t>Stricklandbury</t>
  </si>
  <si>
    <t>Vicki Johnson</t>
  </si>
  <si>
    <t>(869)967-0373x598</t>
  </si>
  <si>
    <t>Munozborough</t>
  </si>
  <si>
    <t>Kathy Williams</t>
  </si>
  <si>
    <t>608-327-2536</t>
  </si>
  <si>
    <t>Port Monicamouth</t>
  </si>
  <si>
    <t>Angela Acevedo</t>
  </si>
  <si>
    <t>667.515.8978x49877</t>
  </si>
  <si>
    <t>New Edwin</t>
  </si>
  <si>
    <t>Charles Kelley</t>
  </si>
  <si>
    <t>786.478.1910</t>
  </si>
  <si>
    <t>North Jennifer</t>
  </si>
  <si>
    <t>Taylor Reyes</t>
  </si>
  <si>
    <t>923.697.6586x5595</t>
  </si>
  <si>
    <t>East Bryan</t>
  </si>
  <si>
    <t>Kathy Kelley</t>
  </si>
  <si>
    <t>001-833-707-1195</t>
  </si>
  <si>
    <t>New Joshua</t>
  </si>
  <si>
    <t>Sean Jones</t>
  </si>
  <si>
    <t>497.316.3137x9906</t>
  </si>
  <si>
    <t>Joshuaburgh</t>
  </si>
  <si>
    <t>Diana Weaver</t>
  </si>
  <si>
    <t>(706)589-6374x493</t>
  </si>
  <si>
    <t>East Bobby</t>
  </si>
  <si>
    <t>Steven Cisneros</t>
  </si>
  <si>
    <t>379.571.0373x719</t>
  </si>
  <si>
    <t>North Dakotastad</t>
  </si>
  <si>
    <t>Lori Hernandez</t>
  </si>
  <si>
    <t>(583)602-4354</t>
  </si>
  <si>
    <t>Kaylafort</t>
  </si>
  <si>
    <t>Jacob Brown</t>
  </si>
  <si>
    <t>440-250-8090</t>
  </si>
  <si>
    <t>Port Stevenhaven</t>
  </si>
  <si>
    <t>Trevor Krause</t>
  </si>
  <si>
    <t>+1-555-596-7503x121</t>
  </si>
  <si>
    <t>South Zacharyside</t>
  </si>
  <si>
    <t>Timothy Clements</t>
  </si>
  <si>
    <t>Port Michaelport</t>
  </si>
  <si>
    <t>Nancy Fuller</t>
  </si>
  <si>
    <t>Kaitlyn Torres</t>
  </si>
  <si>
    <t>+1-959-996-6779x310</t>
  </si>
  <si>
    <t>Erinberg</t>
  </si>
  <si>
    <t>Nicholas White</t>
  </si>
  <si>
    <t>581-804-1362</t>
  </si>
  <si>
    <t>Lake Stephen</t>
  </si>
  <si>
    <t>Rebecca Washington</t>
  </si>
  <si>
    <t>Halestad</t>
  </si>
  <si>
    <t>Michelle Wilson</t>
  </si>
  <si>
    <t>Cameronport</t>
  </si>
  <si>
    <t>Shannon Kim</t>
  </si>
  <si>
    <t>(483)819-7954</t>
  </si>
  <si>
    <t>Jeffreystad</t>
  </si>
  <si>
    <t>Eric Roberson</t>
  </si>
  <si>
    <t>(267)435-7113</t>
  </si>
  <si>
    <t>South Dominiqueburgh</t>
  </si>
  <si>
    <t>Douglas Evans</t>
  </si>
  <si>
    <t>870.948.9626x485</t>
  </si>
  <si>
    <t>Phillipsfurt</t>
  </si>
  <si>
    <t>Francis Herman</t>
  </si>
  <si>
    <t>612.743.6493x6372</t>
  </si>
  <si>
    <t>Port Melissatown</t>
  </si>
  <si>
    <t>Melissa Mooney</t>
  </si>
  <si>
    <t>(759)806-4478</t>
  </si>
  <si>
    <t>Briannaside</t>
  </si>
  <si>
    <t>Megan Melton</t>
  </si>
  <si>
    <t>Wallacemouth</t>
  </si>
  <si>
    <t>James Thomas</t>
  </si>
  <si>
    <t>(875)224-6476x022</t>
  </si>
  <si>
    <t>Morrisfort</t>
  </si>
  <si>
    <t>Jeffrey Johnson</t>
  </si>
  <si>
    <t>+1-710-964-8746x2549</t>
  </si>
  <si>
    <t>Johnchester</t>
  </si>
  <si>
    <t>Michael Cooper</t>
  </si>
  <si>
    <t>272-448-5829x3898</t>
  </si>
  <si>
    <t>Lake Brianland</t>
  </si>
  <si>
    <t>Joanna Jackson</t>
  </si>
  <si>
    <t>631.864.4292</t>
  </si>
  <si>
    <t>North Donnashire</t>
  </si>
  <si>
    <t>Ashley Hughes</t>
  </si>
  <si>
    <t>682-919-9941x329</t>
  </si>
  <si>
    <t>West Larry</t>
  </si>
  <si>
    <t>Joel Johnson</t>
  </si>
  <si>
    <t>(926)898-0954x92506</t>
  </si>
  <si>
    <t>South Anthony</t>
  </si>
  <si>
    <t>Steven Miller</t>
  </si>
  <si>
    <t>987.659.1679x461</t>
  </si>
  <si>
    <t>West Kristenfurt</t>
  </si>
  <si>
    <t>Ian Brown</t>
  </si>
  <si>
    <t>(223)343-8799x01800</t>
  </si>
  <si>
    <t>Port Susan</t>
  </si>
  <si>
    <t>Cynthia Strickland</t>
  </si>
  <si>
    <t>(613)367-6271</t>
  </si>
  <si>
    <t>Charlotteberg</t>
  </si>
  <si>
    <t>Karla Hansen</t>
  </si>
  <si>
    <t>917-546-9515</t>
  </si>
  <si>
    <t>Port Laurieton</t>
  </si>
  <si>
    <t>Laura Soto</t>
  </si>
  <si>
    <t>+1-270-763-7053x0219</t>
  </si>
  <si>
    <t>Joshuahaven</t>
  </si>
  <si>
    <t>David Carter</t>
  </si>
  <si>
    <t>(557)712-7485x012</t>
  </si>
  <si>
    <t>Brianatown</t>
  </si>
  <si>
    <t>Elizabeth Johnson</t>
  </si>
  <si>
    <t>854.521.1064x9645</t>
  </si>
  <si>
    <t>Lake Kimberlyborough</t>
  </si>
  <si>
    <t>Jordan Cordova</t>
  </si>
  <si>
    <t>320-441-1589</t>
  </si>
  <si>
    <t>Elizabethchester</t>
  </si>
  <si>
    <t>Katherine Frank</t>
  </si>
  <si>
    <t>569.921.5932</t>
  </si>
  <si>
    <t>Mcgrathfort</t>
  </si>
  <si>
    <t>Shelly Huang</t>
  </si>
  <si>
    <t>001-559-434-9200x534</t>
  </si>
  <si>
    <t>Melissachester</t>
  </si>
  <si>
    <t>Billy Davis</t>
  </si>
  <si>
    <t>713.990.4789x7261</t>
  </si>
  <si>
    <t>Port Anthonyside</t>
  </si>
  <si>
    <t>Emily Brown</t>
  </si>
  <si>
    <t>273.340.2634x3133</t>
  </si>
  <si>
    <t>Chrisfort</t>
  </si>
  <si>
    <t>Emily Pruitt</t>
  </si>
  <si>
    <t>827-870-6084x882</t>
  </si>
  <si>
    <t>Raymondfort</t>
  </si>
  <si>
    <t>Heather Wilson</t>
  </si>
  <si>
    <t>710-471-1409x180</t>
  </si>
  <si>
    <t>Sabrinaville</t>
  </si>
  <si>
    <t>Andrew Griffin</t>
  </si>
  <si>
    <t>270-940-2941</t>
  </si>
  <si>
    <t>East Amanda</t>
  </si>
  <si>
    <t>Dalton Huffman</t>
  </si>
  <si>
    <t>721-556-3233x4996</t>
  </si>
  <si>
    <t>Allenshire</t>
  </si>
  <si>
    <t>Patrick Woods</t>
  </si>
  <si>
    <t>001-782-415-4181x24860</t>
  </si>
  <si>
    <t>Smithmouth</t>
  </si>
  <si>
    <t>Melanie Juarez</t>
  </si>
  <si>
    <t>(819)405-2318</t>
  </si>
  <si>
    <t>East Darryl</t>
  </si>
  <si>
    <t>Kelly Moss</t>
  </si>
  <si>
    <t>Millerbury</t>
  </si>
  <si>
    <t>Sarah Simmons</t>
  </si>
  <si>
    <t>612.704.5330x20851</t>
  </si>
  <si>
    <t>Lake John</t>
  </si>
  <si>
    <t>Jeffrey Norris</t>
  </si>
  <si>
    <t>+1-298-865-6821x12793</t>
  </si>
  <si>
    <t>South Josephbury</t>
  </si>
  <si>
    <t>Timothy Brown</t>
  </si>
  <si>
    <t>(932)899-2486</t>
  </si>
  <si>
    <t>North Chad</t>
  </si>
  <si>
    <t>Stephen Hart</t>
  </si>
  <si>
    <t>(418)999-2292x2922</t>
  </si>
  <si>
    <t>Brittanyview</t>
  </si>
  <si>
    <t>Carol Gill</t>
  </si>
  <si>
    <t>(907)758-9399x739</t>
  </si>
  <si>
    <t>Kristinamouth</t>
  </si>
  <si>
    <t>Elizabeth Walker</t>
  </si>
  <si>
    <t>749.562.6229</t>
  </si>
  <si>
    <t>Tyler Hernandez</t>
  </si>
  <si>
    <t>+1-773-621-8432x82796</t>
  </si>
  <si>
    <t>Jenniferfort</t>
  </si>
  <si>
    <t>Carol Waters</t>
  </si>
  <si>
    <t>+1-918-575-6888x114</t>
  </si>
  <si>
    <t>Lake Jasmine</t>
  </si>
  <si>
    <t>Jeremy Martin</t>
  </si>
  <si>
    <t>(444)990-6122x49463</t>
  </si>
  <si>
    <t>East Nicolemouth</t>
  </si>
  <si>
    <t>Marilyn Little</t>
  </si>
  <si>
    <t>(444)591-8743</t>
  </si>
  <si>
    <t>Hansonhaven</t>
  </si>
  <si>
    <t>Katherine Stevens</t>
  </si>
  <si>
    <t>544-306-8425x9748</t>
  </si>
  <si>
    <t>Randallport</t>
  </si>
  <si>
    <t>Glenda Stone</t>
  </si>
  <si>
    <t>(715)759-1108x0550</t>
  </si>
  <si>
    <t>Toniville</t>
  </si>
  <si>
    <t>Jessica Ware</t>
  </si>
  <si>
    <t>(762)936-1269x74557</t>
  </si>
  <si>
    <t>Burtonport</t>
  </si>
  <si>
    <t>Nicholas Hill</t>
  </si>
  <si>
    <t>Smithfort</t>
  </si>
  <si>
    <t>Brian Thompson</t>
  </si>
  <si>
    <t>(404)812-0085</t>
  </si>
  <si>
    <t>Petersonhaven</t>
  </si>
  <si>
    <t>Donna Yang</t>
  </si>
  <si>
    <t>698.480.9441x8650</t>
  </si>
  <si>
    <t>Pamelaton</t>
  </si>
  <si>
    <t>Jennifer Hawkins</t>
  </si>
  <si>
    <t>+1-587-538-6983x8137</t>
  </si>
  <si>
    <t>West Mariatown</t>
  </si>
  <si>
    <t>Jill Spencer</t>
  </si>
  <si>
    <t>527-385-8566x594</t>
  </si>
  <si>
    <t>New Nicholasborough</t>
  </si>
  <si>
    <t>Steven Lopez</t>
  </si>
  <si>
    <t>829.989.2951</t>
  </si>
  <si>
    <t>West James</t>
  </si>
  <si>
    <t>Tony Bryan</t>
  </si>
  <si>
    <t>871.521.9315x669</t>
  </si>
  <si>
    <t>Nancyfort</t>
  </si>
  <si>
    <t>Brandon Smith</t>
  </si>
  <si>
    <t>887-446-5628x864</t>
  </si>
  <si>
    <t>Brittneyburgh</t>
  </si>
  <si>
    <t>Deanna Scott</t>
  </si>
  <si>
    <t>694-863-4635</t>
  </si>
  <si>
    <t>Debbiemouth</t>
  </si>
  <si>
    <t>Jessica Russell</t>
  </si>
  <si>
    <t>481.233.9006x37129</t>
  </si>
  <si>
    <t>New Brandon</t>
  </si>
  <si>
    <t>Cynthia Jones</t>
  </si>
  <si>
    <t>001-248-856-5479x8199</t>
  </si>
  <si>
    <t>Sandovalside</t>
  </si>
  <si>
    <t>Kimberly Wyatt</t>
  </si>
  <si>
    <t>722-591-1074x21551</t>
  </si>
  <si>
    <t>West Kellyshire</t>
  </si>
  <si>
    <t>Yolanda Owen</t>
  </si>
  <si>
    <t>001-589-374-0886x38537</t>
  </si>
  <si>
    <t>South Jaclyn</t>
  </si>
  <si>
    <t>Justin Jones</t>
  </si>
  <si>
    <t>(373)922-1887x9033</t>
  </si>
  <si>
    <t>Boothside</t>
  </si>
  <si>
    <t>Sabrina Murphy</t>
  </si>
  <si>
    <t>001-853-213-6790</t>
  </si>
  <si>
    <t>North John</t>
  </si>
  <si>
    <t>Jordan Nelson Jr.</t>
  </si>
  <si>
    <t>(430)604-8993x36371</t>
  </si>
  <si>
    <t>Frederickstad</t>
  </si>
  <si>
    <t>Bryan Peters</t>
  </si>
  <si>
    <t>818-204-3000</t>
  </si>
  <si>
    <t>Banksfort</t>
  </si>
  <si>
    <t>Randall Davis</t>
  </si>
  <si>
    <t>(266)466-6268</t>
  </si>
  <si>
    <t>Stoneview</t>
  </si>
  <si>
    <t>Stacy May</t>
  </si>
  <si>
    <t>792-200-3949x381</t>
  </si>
  <si>
    <t>North Steven</t>
  </si>
  <si>
    <t>Sarah Smith</t>
  </si>
  <si>
    <t>+1-332-652-1923x3334</t>
  </si>
  <si>
    <t>Hayesfort</t>
  </si>
  <si>
    <t>David Mccullough</t>
  </si>
  <si>
    <t>958-334-1683</t>
  </si>
  <si>
    <t>Wustad</t>
  </si>
  <si>
    <t>Brittany Chung</t>
  </si>
  <si>
    <t>253-258-0981</t>
  </si>
  <si>
    <t>East Darleneview</t>
  </si>
  <si>
    <t>Laura Graham</t>
  </si>
  <si>
    <t>595-874-0615x3333</t>
  </si>
  <si>
    <t>East Paulbury</t>
  </si>
  <si>
    <t>Jesse Young</t>
  </si>
  <si>
    <t>001-342-337-4159x4109</t>
  </si>
  <si>
    <t>Port Benjamin</t>
  </si>
  <si>
    <t>Wendy Arroyo</t>
  </si>
  <si>
    <t>838.990.5780</t>
  </si>
  <si>
    <t>South Joannview</t>
  </si>
  <si>
    <t>Abigail Murray</t>
  </si>
  <si>
    <t>North Ryanport</t>
  </si>
  <si>
    <t>Corey Douglas</t>
  </si>
  <si>
    <t>207-813-5499x2586</t>
  </si>
  <si>
    <t>Donnaton</t>
  </si>
  <si>
    <t>Javier Hunt</t>
  </si>
  <si>
    <t>981.307.5194x802</t>
  </si>
  <si>
    <t>North Charlesmouth</t>
  </si>
  <si>
    <t>Yolanda Kidd</t>
  </si>
  <si>
    <t>001-627-896-8906x10057</t>
  </si>
  <si>
    <t>Thomasberg</t>
  </si>
  <si>
    <t>Megan Henry</t>
  </si>
  <si>
    <t>971-899-9327</t>
  </si>
  <si>
    <t>East Dawn</t>
  </si>
  <si>
    <t>Jamie Peterson</t>
  </si>
  <si>
    <t>001-826-858-4615x592</t>
  </si>
  <si>
    <t>Carolineland</t>
  </si>
  <si>
    <t>Patrick Lane</t>
  </si>
  <si>
    <t>001-403-294-6132</t>
  </si>
  <si>
    <t>Port Dustin</t>
  </si>
  <si>
    <t>Jonathan Nash</t>
  </si>
  <si>
    <t>Keithbury</t>
  </si>
  <si>
    <t>Amy Hernandez</t>
  </si>
  <si>
    <t>001-720-892-8369</t>
  </si>
  <si>
    <t>Michael Stanley</t>
  </si>
  <si>
    <t>(969)564-2182</t>
  </si>
  <si>
    <t>Port Rachel</t>
  </si>
  <si>
    <t>Justin English</t>
  </si>
  <si>
    <t>East Lancestad</t>
  </si>
  <si>
    <t>Andre Anderson</t>
  </si>
  <si>
    <t>New Matthewberg</t>
  </si>
  <si>
    <t>Diane James</t>
  </si>
  <si>
    <t>423-915-6007x85374</t>
  </si>
  <si>
    <t>Davidmouth</t>
  </si>
  <si>
    <t>Vanessa Thompson</t>
  </si>
  <si>
    <t>(782)522-0952x553</t>
  </si>
  <si>
    <t>Jonathanview</t>
  </si>
  <si>
    <t>Kristine Phillips</t>
  </si>
  <si>
    <t>(772)914-7066</t>
  </si>
  <si>
    <t>Gailside</t>
  </si>
  <si>
    <t>Dustin Vega</t>
  </si>
  <si>
    <t>596-238-8727</t>
  </si>
  <si>
    <t>Stevenmouth</t>
  </si>
  <si>
    <t>Melissa Sims</t>
  </si>
  <si>
    <t>+1-488-355-6464x7017</t>
  </si>
  <si>
    <t>Port Joeport</t>
  </si>
  <si>
    <t>Mr. Richard Smith</t>
  </si>
  <si>
    <t>287.515.3584</t>
  </si>
  <si>
    <t>South Monicaton</t>
  </si>
  <si>
    <t>Colin Carlson</t>
  </si>
  <si>
    <t>001-625-711-0753x751</t>
  </si>
  <si>
    <t>Traciebury</t>
  </si>
  <si>
    <t>Russell Mccormick</t>
  </si>
  <si>
    <t>+1-476-376-2520x81505</t>
  </si>
  <si>
    <t>New Abigailside</t>
  </si>
  <si>
    <t>Paula Aguilar</t>
  </si>
  <si>
    <t>964.720.2271x2908</t>
  </si>
  <si>
    <t>Diazbury</t>
  </si>
  <si>
    <t>Lori Bauer</t>
  </si>
  <si>
    <t>+1-739-864-4303x70865</t>
  </si>
  <si>
    <t>Christopherburgh</t>
  </si>
  <si>
    <t>Stacy Nunez</t>
  </si>
  <si>
    <t>+1-912-604-8734x479</t>
  </si>
  <si>
    <t>Reedtown</t>
  </si>
  <si>
    <t>Jose Tucker</t>
  </si>
  <si>
    <t>South Judyport</t>
  </si>
  <si>
    <t>Susan Jennings</t>
  </si>
  <si>
    <t>518.460.8871</t>
  </si>
  <si>
    <t>West Randy</t>
  </si>
  <si>
    <t>Willie Johnson MD</t>
  </si>
  <si>
    <t>(732)470-6766x46311</t>
  </si>
  <si>
    <t>Katrinafurt</t>
  </si>
  <si>
    <t>Shannon Jones</t>
  </si>
  <si>
    <t>001-943-505-7606</t>
  </si>
  <si>
    <t>Jacksonburgh</t>
  </si>
  <si>
    <t>Holly Hall</t>
  </si>
  <si>
    <t>475.937.5570x398</t>
  </si>
  <si>
    <t>Rowemouth</t>
  </si>
  <si>
    <t>Robert Garcia</t>
  </si>
  <si>
    <t>+1-993-732-1203x72213</t>
  </si>
  <si>
    <t>West Jamesburgh</t>
  </si>
  <si>
    <t>Scott Gray</t>
  </si>
  <si>
    <t>(951)382-4893</t>
  </si>
  <si>
    <t>Murrayside</t>
  </si>
  <si>
    <t>Angela Hodge</t>
  </si>
  <si>
    <t>636-720-0657</t>
  </si>
  <si>
    <t>East Laurenburgh</t>
  </si>
  <si>
    <t>Paul Sharp</t>
  </si>
  <si>
    <t>(972)849-4461x067</t>
  </si>
  <si>
    <t>New Dominiquemouth</t>
  </si>
  <si>
    <t>Vincent Bradford</t>
  </si>
  <si>
    <t>735.802.4225x4530</t>
  </si>
  <si>
    <t>Kaufmanmouth</t>
  </si>
  <si>
    <t>Debbie Martinez</t>
  </si>
  <si>
    <t>+1-499-228-9913x81356</t>
  </si>
  <si>
    <t>North Christopherborough</t>
  </si>
  <si>
    <t>Joe Bishop</t>
  </si>
  <si>
    <t>+1-948-574-0672x6145</t>
  </si>
  <si>
    <t>Ochoaland</t>
  </si>
  <si>
    <t>Amy Diaz</t>
  </si>
  <si>
    <t>(794)266-4985x62971</t>
  </si>
  <si>
    <t>Smithville</t>
  </si>
  <si>
    <t>Paul Brown</t>
  </si>
  <si>
    <t>500-883-3724</t>
  </si>
  <si>
    <t>Kimberlychester</t>
  </si>
  <si>
    <t>Virginia Carter</t>
  </si>
  <si>
    <t>942-748-2884</t>
  </si>
  <si>
    <t>East Samanthashire</t>
  </si>
  <si>
    <t>John Salazar</t>
  </si>
  <si>
    <t>+1-426-489-5243x9216</t>
  </si>
  <si>
    <t>West Chelsey</t>
  </si>
  <si>
    <t>Alexander Brown</t>
  </si>
  <si>
    <t>New Brenda</t>
  </si>
  <si>
    <t>Ronald Obrien</t>
  </si>
  <si>
    <t>Lynnville</t>
  </si>
  <si>
    <t>Alicia Dyer</t>
  </si>
  <si>
    <t>878.297.4802x258</t>
  </si>
  <si>
    <t>East Anaville</t>
  </si>
  <si>
    <t>Mark Booth</t>
  </si>
  <si>
    <t>750.301.4583</t>
  </si>
  <si>
    <t>Charlesbury</t>
  </si>
  <si>
    <t>Ashlee Guerra</t>
  </si>
  <si>
    <t>516-792-1201x170</t>
  </si>
  <si>
    <t>Nicoletown</t>
  </si>
  <si>
    <t>Trevor Massey</t>
  </si>
  <si>
    <t>280.573.0062</t>
  </si>
  <si>
    <t>Janicefurt</t>
  </si>
  <si>
    <t>Jason Kelley</t>
  </si>
  <si>
    <t>819.496.3308x797</t>
  </si>
  <si>
    <t>New Charles</t>
  </si>
  <si>
    <t>Christina Suarez</t>
  </si>
  <si>
    <t>(957)955-1840</t>
  </si>
  <si>
    <t>Christine Sharp</t>
  </si>
  <si>
    <t>+1-973-247-0666x6891</t>
  </si>
  <si>
    <t>West Debbie</t>
  </si>
  <si>
    <t>Sarah Jimenez</t>
  </si>
  <si>
    <t>986.716.0048</t>
  </si>
  <si>
    <t>Blairview</t>
  </si>
  <si>
    <t>Jamie Estes</t>
  </si>
  <si>
    <t>800-456-3963</t>
  </si>
  <si>
    <t>Howardmouth</t>
  </si>
  <si>
    <t>Kimberly Barnett</t>
  </si>
  <si>
    <t>883-880-7321</t>
  </si>
  <si>
    <t>Holmesland</t>
  </si>
  <si>
    <t>Zachary Jacobs</t>
  </si>
  <si>
    <t>469.284.4045</t>
  </si>
  <si>
    <t>Kyleberg</t>
  </si>
  <si>
    <t>Jerry Chandler</t>
  </si>
  <si>
    <t>304-981-5480x943</t>
  </si>
  <si>
    <t>Valenzuelabury</t>
  </si>
  <si>
    <t>Elizabeth Caldwell</t>
  </si>
  <si>
    <t>450-491-1174x277</t>
  </si>
  <si>
    <t>Christinaberg</t>
  </si>
  <si>
    <t>Brian Welch</t>
  </si>
  <si>
    <t>(338)800-3637x29513</t>
  </si>
  <si>
    <t>Yorkberg</t>
  </si>
  <si>
    <t>Frederick Townsend</t>
  </si>
  <si>
    <t>001-440-221-1275</t>
  </si>
  <si>
    <t>Wagnerhaven</t>
  </si>
  <si>
    <t>Peter Hopkins</t>
  </si>
  <si>
    <t>+1-445-476-1967x8899</t>
  </si>
  <si>
    <t>Erinfurt</t>
  </si>
  <si>
    <t>Ronald Torres</t>
  </si>
  <si>
    <t>Mark Garner</t>
  </si>
  <si>
    <t>001-436-963-3667x790</t>
  </si>
  <si>
    <t>East Joseborough</t>
  </si>
  <si>
    <t>Christopher Coleman</t>
  </si>
  <si>
    <t>001-956-844-2734x253</t>
  </si>
  <si>
    <t>Port Karenstad</t>
  </si>
  <si>
    <t>Alexander White</t>
  </si>
  <si>
    <t>001-903-684-3254</t>
  </si>
  <si>
    <t>West Michelleland</t>
  </si>
  <si>
    <t>Amanda Rosales</t>
  </si>
  <si>
    <t>(409)532-8526x60354</t>
  </si>
  <si>
    <t>North Melissaberg</t>
  </si>
  <si>
    <t>Cheryl Cameron</t>
  </si>
  <si>
    <t>471.373.9053x4488</t>
  </si>
  <si>
    <t>Lloydbury</t>
  </si>
  <si>
    <t>Kevin Ortiz</t>
  </si>
  <si>
    <t>North Kennethville</t>
  </si>
  <si>
    <t>Todd Castillo</t>
  </si>
  <si>
    <t>+1-564-522-7735x798</t>
  </si>
  <si>
    <t>Justinfort</t>
  </si>
  <si>
    <t>Martha Crawford</t>
  </si>
  <si>
    <t>(336)616-9608x574</t>
  </si>
  <si>
    <t>Timothystad</t>
  </si>
  <si>
    <t>Steven Mcpherson</t>
  </si>
  <si>
    <t>397-605-6972x668</t>
  </si>
  <si>
    <t>Margaretshire</t>
  </si>
  <si>
    <t>Colton Robinson</t>
  </si>
  <si>
    <t>476.283.2757x789</t>
  </si>
  <si>
    <t>Joelshire</t>
  </si>
  <si>
    <t>Joel Simmons</t>
  </si>
  <si>
    <t>378.670.9923</t>
  </si>
  <si>
    <t>East Dustinfort</t>
  </si>
  <si>
    <t>Scott Miller</t>
  </si>
  <si>
    <t>001-258-713-8768x7510</t>
  </si>
  <si>
    <t>Ethantown</t>
  </si>
  <si>
    <t>Kaitlyn Williams</t>
  </si>
  <si>
    <t>742.337.7053x3050</t>
  </si>
  <si>
    <t>West Richardhaven</t>
  </si>
  <si>
    <t>Deborah Oliver</t>
  </si>
  <si>
    <t>(689)353-4205x96318</t>
  </si>
  <si>
    <t>Emilymouth</t>
  </si>
  <si>
    <t>Scott Mendez</t>
  </si>
  <si>
    <t>(934)900-4115x811</t>
  </si>
  <si>
    <t>North Luisbury</t>
  </si>
  <si>
    <t>Adriana Miller</t>
  </si>
  <si>
    <t>+1-857-578-9146x08687</t>
  </si>
  <si>
    <t>West Johnbury</t>
  </si>
  <si>
    <t>Susan Ortega</t>
  </si>
  <si>
    <t>001-938-576-5450x3406</t>
  </si>
  <si>
    <t>Lake Erinmouth</t>
  </si>
  <si>
    <t>Sherri Kelly</t>
  </si>
  <si>
    <t>West Christy</t>
  </si>
  <si>
    <t>Daniel Thomas</t>
  </si>
  <si>
    <t>(372)283-1743</t>
  </si>
  <si>
    <t>Wardview</t>
  </si>
  <si>
    <t>Anthony Cantu</t>
  </si>
  <si>
    <t>593.759.4389x15306</t>
  </si>
  <si>
    <t>Melissa Garcia</t>
  </si>
  <si>
    <t>200.852.2033</t>
  </si>
  <si>
    <t>Walterside</t>
  </si>
  <si>
    <t>Sean Lewis</t>
  </si>
  <si>
    <t>Port Darlene</t>
  </si>
  <si>
    <t>Joshua Smith</t>
  </si>
  <si>
    <t>+1-898-217-2357x1821</t>
  </si>
  <si>
    <t>West Tiffanyland</t>
  </si>
  <si>
    <t>Lacey Herrera</t>
  </si>
  <si>
    <t>276-580-5435</t>
  </si>
  <si>
    <t>Bakerbury</t>
  </si>
  <si>
    <t>Emma Martinez</t>
  </si>
  <si>
    <t>376-540-6814</t>
  </si>
  <si>
    <t>Harrisbury</t>
  </si>
  <si>
    <t>Jordan Lewis</t>
  </si>
  <si>
    <t>001-439-462-1397x83032</t>
  </si>
  <si>
    <t>New Jennifer</t>
  </si>
  <si>
    <t>Ricardo Melendez Jr.</t>
  </si>
  <si>
    <t>285.617.9024</t>
  </si>
  <si>
    <t>Wrightchester</t>
  </si>
  <si>
    <t>Briana Wright</t>
  </si>
  <si>
    <t>East Travis</t>
  </si>
  <si>
    <t>Laurie Gibson</t>
  </si>
  <si>
    <t>001-968-230-9301x24722</t>
  </si>
  <si>
    <t>Johnsonchester</t>
  </si>
  <si>
    <t>Kevin Green</t>
  </si>
  <si>
    <t>(593)969-4085</t>
  </si>
  <si>
    <t>Kayla Evans</t>
  </si>
  <si>
    <t>971-943-8830x7608</t>
  </si>
  <si>
    <t>North Tracyview</t>
  </si>
  <si>
    <t>Samantha Hoover</t>
  </si>
  <si>
    <t>(330)677-5908</t>
  </si>
  <si>
    <t>Tyler Santiago</t>
  </si>
  <si>
    <t>631-675-7169x615</t>
  </si>
  <si>
    <t>North Stephenmouth</t>
  </si>
  <si>
    <t>Kimberly Leach</t>
  </si>
  <si>
    <t>606-425-4033x457</t>
  </si>
  <si>
    <t>Davidstad</t>
  </si>
  <si>
    <t>Sydney Hunt</t>
  </si>
  <si>
    <t>Jessicaville</t>
  </si>
  <si>
    <t>Thomas Murphy</t>
  </si>
  <si>
    <t>787.910.7722</t>
  </si>
  <si>
    <t>Deniseton</t>
  </si>
  <si>
    <t>Patricia Ford</t>
  </si>
  <si>
    <t>001-317-812-2297x5537</t>
  </si>
  <si>
    <t>Lake Garyfort</t>
  </si>
  <si>
    <t>Samuel Barry</t>
  </si>
  <si>
    <t>New Chelseahaven</t>
  </si>
  <si>
    <t>Robert Curry</t>
  </si>
  <si>
    <t>(897)549-1739x62545</t>
  </si>
  <si>
    <t>South Johnton</t>
  </si>
  <si>
    <t>Cindy Kemp</t>
  </si>
  <si>
    <t>001-514-964-3024x873</t>
  </si>
  <si>
    <t>East Lisa</t>
  </si>
  <si>
    <t>Johnathan Butler</t>
  </si>
  <si>
    <t>(925)843-0132</t>
  </si>
  <si>
    <t>Lake Rogerside</t>
  </si>
  <si>
    <t>Toni Weber</t>
  </si>
  <si>
    <t>001-582-707-5863x38525</t>
  </si>
  <si>
    <t>Davidland</t>
  </si>
  <si>
    <t>Bradley Rivera</t>
  </si>
  <si>
    <t>001-866-209-3520</t>
  </si>
  <si>
    <t>Tammyborough</t>
  </si>
  <si>
    <t>Jeffrey Robles</t>
  </si>
  <si>
    <t>226.935.3444</t>
  </si>
  <si>
    <t>Cynthiafurt</t>
  </si>
  <si>
    <t>Brandi Lopez</t>
  </si>
  <si>
    <t>942-526-2916</t>
  </si>
  <si>
    <t>West Michelle</t>
  </si>
  <si>
    <t>Mark Williams</t>
  </si>
  <si>
    <t>810-906-4156x386</t>
  </si>
  <si>
    <t>Lake Sarah</t>
  </si>
  <si>
    <t>Amanda Rivera</t>
  </si>
  <si>
    <t>(907)760-4471</t>
  </si>
  <si>
    <t>Hollowayville</t>
  </si>
  <si>
    <t>Dennis Jones</t>
  </si>
  <si>
    <t>(309)472-3772x754</t>
  </si>
  <si>
    <t>East Susan</t>
  </si>
  <si>
    <t>Ashley Campbell</t>
  </si>
  <si>
    <t>675.896.3288x96749</t>
  </si>
  <si>
    <t>North Adrianaport</t>
  </si>
  <si>
    <t>Johnny Anderson</t>
  </si>
  <si>
    <t>(331)372-5672</t>
  </si>
  <si>
    <t>Lake William</t>
  </si>
  <si>
    <t>Manuel Young</t>
  </si>
  <si>
    <t>+1-827-530-9039x278</t>
  </si>
  <si>
    <t>Allison Horn</t>
  </si>
  <si>
    <t>001-939-337-3425x5871</t>
  </si>
  <si>
    <t>Ginaville</t>
  </si>
  <si>
    <t>Elizabeth Rowe</t>
  </si>
  <si>
    <t>(268)327-7260x799</t>
  </si>
  <si>
    <t>Debraton</t>
  </si>
  <si>
    <t>(471)574-4417</t>
  </si>
  <si>
    <t>Wardfort</t>
  </si>
  <si>
    <t>Andrew Cain</t>
  </si>
  <si>
    <t>500-725-7434x2410</t>
  </si>
  <si>
    <t>Mendezview</t>
  </si>
  <si>
    <t>Elizabeth Ballard</t>
  </si>
  <si>
    <t>David Donovan</t>
  </si>
  <si>
    <t>788.748.7922</t>
  </si>
  <si>
    <t>Port Marthaview</t>
  </si>
  <si>
    <t>Tom Stevens</t>
  </si>
  <si>
    <t>(637)713-6818x4563</t>
  </si>
  <si>
    <t>North Justin</t>
  </si>
  <si>
    <t>Daniel Gentry</t>
  </si>
  <si>
    <t>(712)498-9671</t>
  </si>
  <si>
    <t>Port Ashleyshire</t>
  </si>
  <si>
    <t>Amy Charles</t>
  </si>
  <si>
    <t>(743)928-4362</t>
  </si>
  <si>
    <t>Maryfort</t>
  </si>
  <si>
    <t>Douglas Myers</t>
  </si>
  <si>
    <t>506-598-7094x6167</t>
  </si>
  <si>
    <t>North Laurafort</t>
  </si>
  <si>
    <t>Traci Wilson</t>
  </si>
  <si>
    <t>(784)673-6952x0607</t>
  </si>
  <si>
    <t>Jenniferside</t>
  </si>
  <si>
    <t>Pamela Welch</t>
  </si>
  <si>
    <t>(755)329-6949</t>
  </si>
  <si>
    <t>Cherylville</t>
  </si>
  <si>
    <t>295-990-2138x87741</t>
  </si>
  <si>
    <t>Feliciaborough</t>
  </si>
  <si>
    <t>Jason Hardy</t>
  </si>
  <si>
    <t>Millerhaven</t>
  </si>
  <si>
    <t>Michael Hayes</t>
  </si>
  <si>
    <t>001-546-876-0977x7906</t>
  </si>
  <si>
    <t>Smithchester</t>
  </si>
  <si>
    <t>Rachael Leon</t>
  </si>
  <si>
    <t>(891)845-0472x6344</t>
  </si>
  <si>
    <t>Courtneytown</t>
  </si>
  <si>
    <t>Gregory Wolfe</t>
  </si>
  <si>
    <t>(849)466-1073</t>
  </si>
  <si>
    <t>North Elizabeth</t>
  </si>
  <si>
    <t>Willie Perez</t>
  </si>
  <si>
    <t>860-244-2168</t>
  </si>
  <si>
    <t>Stacyburgh</t>
  </si>
  <si>
    <t>Michael Williams</t>
  </si>
  <si>
    <t>279-290-4922</t>
  </si>
  <si>
    <t>Bakerland</t>
  </si>
  <si>
    <t>Juan Moore</t>
  </si>
  <si>
    <t>West Johnfurt</t>
  </si>
  <si>
    <t>Cassidy Williams</t>
  </si>
  <si>
    <t>001-467-610-1026</t>
  </si>
  <si>
    <t>Jacobmouth</t>
  </si>
  <si>
    <t>Russell Martinez</t>
  </si>
  <si>
    <t>640-882-3690x62482</t>
  </si>
  <si>
    <t>Rogerburgh</t>
  </si>
  <si>
    <t>Gregory Winters</t>
  </si>
  <si>
    <t>001-661-536-7463x67947</t>
  </si>
  <si>
    <t>New Michael</t>
  </si>
  <si>
    <t>Samantha Bishop</t>
  </si>
  <si>
    <t>Judithport</t>
  </si>
  <si>
    <t>Dawn Chen</t>
  </si>
  <si>
    <t>(281)982-4056x48721</t>
  </si>
  <si>
    <t>Kaylaland</t>
  </si>
  <si>
    <t>Joshua Jones</t>
  </si>
  <si>
    <t>001-555-429-9150</t>
  </si>
  <si>
    <t>Mcmahonhaven</t>
  </si>
  <si>
    <t>Christopher Gould</t>
  </si>
  <si>
    <t>330-250-6093</t>
  </si>
  <si>
    <t>East Andrew</t>
  </si>
  <si>
    <t>William Bell</t>
  </si>
  <si>
    <t>479-510-6046x86096</t>
  </si>
  <si>
    <t>Hooverbury</t>
  </si>
  <si>
    <t>Thomas Sims</t>
  </si>
  <si>
    <t>+1-618-497-0952x72442</t>
  </si>
  <si>
    <t>South Saraberg</t>
  </si>
  <si>
    <t>John Blackwell</t>
  </si>
  <si>
    <t>(666)509-5328x648</t>
  </si>
  <si>
    <t>Martineztown</t>
  </si>
  <si>
    <t>Michael Caldwell</t>
  </si>
  <si>
    <t>666-756-7448</t>
  </si>
  <si>
    <t>North Alexaton</t>
  </si>
  <si>
    <t>Dr. Michael Harris</t>
  </si>
  <si>
    <t>(378)345-5757x51274</t>
  </si>
  <si>
    <t>North Scott</t>
  </si>
  <si>
    <t>John Smith</t>
  </si>
  <si>
    <t>+1-422-896-6833x97161</t>
  </si>
  <si>
    <t>Gordonfort</t>
  </si>
  <si>
    <t>Steven Harrison</t>
  </si>
  <si>
    <t>368-567-9789x70428</t>
  </si>
  <si>
    <t>Tinaview</t>
  </si>
  <si>
    <t>Susan Jones</t>
  </si>
  <si>
    <t>322-738-1438x8160</t>
  </si>
  <si>
    <t>Garrettview</t>
  </si>
  <si>
    <t>Jesse Ramos</t>
  </si>
  <si>
    <t>+1-412-927-2022x657</t>
  </si>
  <si>
    <t>Jacobhaven</t>
  </si>
  <si>
    <t>Nicholas Bell</t>
  </si>
  <si>
    <t>359.593.9065</t>
  </si>
  <si>
    <t>East Colleenburgh</t>
  </si>
  <si>
    <t>Joseph Brown</t>
  </si>
  <si>
    <t>001-431-307-1833x73027</t>
  </si>
  <si>
    <t>Leeton</t>
  </si>
  <si>
    <t>Zachary Rogers</t>
  </si>
  <si>
    <t>311.433.2394x937</t>
  </si>
  <si>
    <t>Avilaland</t>
  </si>
  <si>
    <t>Robert Ferguson</t>
  </si>
  <si>
    <t>001-376-220-5520</t>
  </si>
  <si>
    <t>Port Carmen</t>
  </si>
  <si>
    <t>Alexander Thompson</t>
  </si>
  <si>
    <t>+1-415-414-7267x06353</t>
  </si>
  <si>
    <t>Lindahaven</t>
  </si>
  <si>
    <t>Megan Barnes</t>
  </si>
  <si>
    <t>+1-433-816-5469x184</t>
  </si>
  <si>
    <t>Kirstenfurt</t>
  </si>
  <si>
    <t>Alyssa Rivera</t>
  </si>
  <si>
    <t>(984)874-0833</t>
  </si>
  <si>
    <t>East Tiffany</t>
  </si>
  <si>
    <t>Veronica Taylor</t>
  </si>
  <si>
    <t>451-203-3378x52179</t>
  </si>
  <si>
    <t>East Candacechester</t>
  </si>
  <si>
    <t>Steven Stephens</t>
  </si>
  <si>
    <t>(533)263-1570x96545</t>
  </si>
  <si>
    <t>663.561.9830x309</t>
  </si>
  <si>
    <t>New Shaun</t>
  </si>
  <si>
    <t>001-409-967-8476x67944</t>
  </si>
  <si>
    <t>West Dianaport</t>
  </si>
  <si>
    <t>Dr. Jeremy Bartlett</t>
  </si>
  <si>
    <t>+1-423-574-4583x180</t>
  </si>
  <si>
    <t>Michelleborough</t>
  </si>
  <si>
    <t>Jon Miller Jr.</t>
  </si>
  <si>
    <t>(373)231-0208</t>
  </si>
  <si>
    <t>Michellechester</t>
  </si>
  <si>
    <t>Erica Lewis</t>
  </si>
  <si>
    <t>001-291-420-2832x17712</t>
  </si>
  <si>
    <t>Davidview</t>
  </si>
  <si>
    <t>Dominic Miller</t>
  </si>
  <si>
    <t>West Monica</t>
  </si>
  <si>
    <t>Stephanie Atkins</t>
  </si>
  <si>
    <t>001-516-554-0963x35962</t>
  </si>
  <si>
    <t>Villanuevatown</t>
  </si>
  <si>
    <t>Matthew Stephens</t>
  </si>
  <si>
    <t>Nicholasside</t>
  </si>
  <si>
    <t>Charles Malone</t>
  </si>
  <si>
    <t>001-608-663-9302</t>
  </si>
  <si>
    <t>Jaclynshire</t>
  </si>
  <si>
    <t>Deborah Stephenson</t>
  </si>
  <si>
    <t>+1-619-348-5547x52716</t>
  </si>
  <si>
    <t>West Scottland</t>
  </si>
  <si>
    <t>Mark Robinson</t>
  </si>
  <si>
    <t>(645)927-5958x270</t>
  </si>
  <si>
    <t>Rodriguezland</t>
  </si>
  <si>
    <t>Thomas Morgan</t>
  </si>
  <si>
    <t>East Earl</t>
  </si>
  <si>
    <t>Heather Davis</t>
  </si>
  <si>
    <t>+1-217-828-3109x5855</t>
  </si>
  <si>
    <t>East Lisaborough</t>
  </si>
  <si>
    <t>Crystal Williams</t>
  </si>
  <si>
    <t>Warnerbury</t>
  </si>
  <si>
    <t>Bryan Davis</t>
  </si>
  <si>
    <t>001-949-531-7255x8370</t>
  </si>
  <si>
    <t>West Matthew</t>
  </si>
  <si>
    <t>Thomas Brown</t>
  </si>
  <si>
    <t>711-514-8356x3301</t>
  </si>
  <si>
    <t>North Johnstad</t>
  </si>
  <si>
    <t>William Smith Jr.</t>
  </si>
  <si>
    <t>831.745.1424</t>
  </si>
  <si>
    <t>New Lauren</t>
  </si>
  <si>
    <t>Amanda Anderson</t>
  </si>
  <si>
    <t>East Christina</t>
  </si>
  <si>
    <t>Colleen Gutierrez</t>
  </si>
  <si>
    <t>299.221.9567</t>
  </si>
  <si>
    <t>Mary Cline</t>
  </si>
  <si>
    <t>+1-331-647-7854x936</t>
  </si>
  <si>
    <t>Norrisside</t>
  </si>
  <si>
    <t>Scott Martinez</t>
  </si>
  <si>
    <t>001-992-635-7508x66833</t>
  </si>
  <si>
    <t>West Daniel</t>
  </si>
  <si>
    <t>Thomas Nichols</t>
  </si>
  <si>
    <t>001-540-945-2348x918</t>
  </si>
  <si>
    <t>New James</t>
  </si>
  <si>
    <t>Heather Hayes</t>
  </si>
  <si>
    <t>(306)295-1931x411</t>
  </si>
  <si>
    <t>Ericksonchester</t>
  </si>
  <si>
    <t>Dennis Wong</t>
  </si>
  <si>
    <t>727.339.5171</t>
  </si>
  <si>
    <t>Simmonsville</t>
  </si>
  <si>
    <t>Eric Allen</t>
  </si>
  <si>
    <t>+1-399-346-4455x928</t>
  </si>
  <si>
    <t>Hubbardmouth</t>
  </si>
  <si>
    <t>Wayne Edwards</t>
  </si>
  <si>
    <t>Reidfurt</t>
  </si>
  <si>
    <t>Zachary Mckinney</t>
  </si>
  <si>
    <t>710.207.4537</t>
  </si>
  <si>
    <t>Melissaview</t>
  </si>
  <si>
    <t>Joshua Parker</t>
  </si>
  <si>
    <t>001-988-553-8184x94697</t>
  </si>
  <si>
    <t>New Morganland</t>
  </si>
  <si>
    <t>Alexandria Robertson</t>
  </si>
  <si>
    <t>Matthewmouth</t>
  </si>
  <si>
    <t>Debbie Hicks</t>
  </si>
  <si>
    <t>824.876.1055x315</t>
  </si>
  <si>
    <t>Griffinberg</t>
  </si>
  <si>
    <t>Jessica Garcia</t>
  </si>
  <si>
    <t>South Angelaview</t>
  </si>
  <si>
    <t>Dawn Olson</t>
  </si>
  <si>
    <t>+1-506-348-5591x796</t>
  </si>
  <si>
    <t>Wileyland</t>
  </si>
  <si>
    <t>Connie Ferrell</t>
  </si>
  <si>
    <t>(424)693-6543x33438</t>
  </si>
  <si>
    <t>Derrickview</t>
  </si>
  <si>
    <t>Amy Nichols</t>
  </si>
  <si>
    <t>420.764.0162x413</t>
  </si>
  <si>
    <t>Brentmouth</t>
  </si>
  <si>
    <t>Tyler Watkins</t>
  </si>
  <si>
    <t>Christopherfort</t>
  </si>
  <si>
    <t>Brianna Perry</t>
  </si>
  <si>
    <t>265.909.6104x761</t>
  </si>
  <si>
    <t>Carolinefort</t>
  </si>
  <si>
    <t>Erin Robinson</t>
  </si>
  <si>
    <t>001-679-789-6337x146</t>
  </si>
  <si>
    <t>South Richard</t>
  </si>
  <si>
    <t>Kevin Alvarado</t>
  </si>
  <si>
    <t>+1-314-838-7120x635</t>
  </si>
  <si>
    <t>Stevenbury</t>
  </si>
  <si>
    <t>Elizabeth Lyons</t>
  </si>
  <si>
    <t>311-396-2542x84511</t>
  </si>
  <si>
    <t>Danielmouth</t>
  </si>
  <si>
    <t>Miguel Davis</t>
  </si>
  <si>
    <t>(681)447-0722x9995</t>
  </si>
  <si>
    <t>Port Sharonborough</t>
  </si>
  <si>
    <t>Maria Shepherd</t>
  </si>
  <si>
    <t>+1-298-530-1288x50648</t>
  </si>
  <si>
    <t>West Brettstad</t>
  </si>
  <si>
    <t>Melissa Fuller</t>
  </si>
  <si>
    <t>(797)465-2136</t>
  </si>
  <si>
    <t>North Thomasberg</t>
  </si>
  <si>
    <t>Casey Foster</t>
  </si>
  <si>
    <t>724-376-7554x3876</t>
  </si>
  <si>
    <t>Lake Angelamouth</t>
  </si>
  <si>
    <t>James Nielsen</t>
  </si>
  <si>
    <t>(566)323-7522</t>
  </si>
  <si>
    <t>Sherryberg</t>
  </si>
  <si>
    <t>Marissa Reed</t>
  </si>
  <si>
    <t>001-665-373-9233x4634</t>
  </si>
  <si>
    <t>Jonesside</t>
  </si>
  <si>
    <t>Alice Thomas</t>
  </si>
  <si>
    <t>Robertmouth</t>
  </si>
  <si>
    <t>Arthur Hall</t>
  </si>
  <si>
    <t>+1-931-990-0693x015</t>
  </si>
  <si>
    <t>West Ashley</t>
  </si>
  <si>
    <t>William Arroyo</t>
  </si>
  <si>
    <t>001-633-492-9487x72952</t>
  </si>
  <si>
    <t>North Jonshire</t>
  </si>
  <si>
    <t>James Gonzales</t>
  </si>
  <si>
    <t>850.347.8831x667</t>
  </si>
  <si>
    <t>Lindamouth</t>
  </si>
  <si>
    <t>Ricky Joseph</t>
  </si>
  <si>
    <t>872-385-9623x6422</t>
  </si>
  <si>
    <t>Stevensonside</t>
  </si>
  <si>
    <t>Laura Bowers</t>
  </si>
  <si>
    <t>001-355-786-1972x860</t>
  </si>
  <si>
    <t>Gentryville</t>
  </si>
  <si>
    <t>Steven Ballard</t>
  </si>
  <si>
    <t>Whiteborough</t>
  </si>
  <si>
    <t>Michael Jackson</t>
  </si>
  <si>
    <t>616.989.2417</t>
  </si>
  <si>
    <t>New Sara</t>
  </si>
  <si>
    <t>Robert Lozano</t>
  </si>
  <si>
    <t>+1-827-948-4300x250</t>
  </si>
  <si>
    <t>New Drew</t>
  </si>
  <si>
    <t>David Martin</t>
  </si>
  <si>
    <t>(213)302-3495x7353</t>
  </si>
  <si>
    <t>Gomezbury</t>
  </si>
  <si>
    <t>445.324.9027x904</t>
  </si>
  <si>
    <t>Lake Pamela</t>
  </si>
  <si>
    <t>Connor Rojas</t>
  </si>
  <si>
    <t>001-956-337-0516x0030</t>
  </si>
  <si>
    <t>West Andrewmouth</t>
  </si>
  <si>
    <t>Joseph Harvey</t>
  </si>
  <si>
    <t>(366)545-7156x2569</t>
  </si>
  <si>
    <t>West Megan</t>
  </si>
  <si>
    <t>Angie Norris</t>
  </si>
  <si>
    <t>(696)334-5156x80630</t>
  </si>
  <si>
    <t>Port Ashley</t>
  </si>
  <si>
    <t>Jane Smith</t>
  </si>
  <si>
    <t>001-693-740-4257x77698</t>
  </si>
  <si>
    <t>Lake Tamarastad</t>
  </si>
  <si>
    <t>Kathleen Wu</t>
  </si>
  <si>
    <t>999-425-8847</t>
  </si>
  <si>
    <t>Christieside</t>
  </si>
  <si>
    <t>Rebecca Underwood</t>
  </si>
  <si>
    <t>428-669-7294</t>
  </si>
  <si>
    <t>New Mary</t>
  </si>
  <si>
    <t>Lisa Rodriguez</t>
  </si>
  <si>
    <t>001-652-537-3936</t>
  </si>
  <si>
    <t>Reynoldsville</t>
  </si>
  <si>
    <t>Jeffrey Martin</t>
  </si>
  <si>
    <t>(877)796-3696x22210</t>
  </si>
  <si>
    <t>New Michele</t>
  </si>
  <si>
    <t>Wesley Hale</t>
  </si>
  <si>
    <t>+1-780-851-6003x3401</t>
  </si>
  <si>
    <t>East Jeffrey</t>
  </si>
  <si>
    <t>Scott Perry</t>
  </si>
  <si>
    <t>Kellyburgh</t>
  </si>
  <si>
    <t>Erika Mcgee</t>
  </si>
  <si>
    <t>(423)698-1180x077</t>
  </si>
  <si>
    <t>Riverafort</t>
  </si>
  <si>
    <t>Lee Sampson</t>
  </si>
  <si>
    <t>249.505.3212x33537</t>
  </si>
  <si>
    <t>Hermanfurt</t>
  </si>
  <si>
    <t>Keith Rush</t>
  </si>
  <si>
    <t>631-308-0878</t>
  </si>
  <si>
    <t>New Sarah</t>
  </si>
  <si>
    <t>Mary Brown</t>
  </si>
  <si>
    <t>001-867-463-8945x97682</t>
  </si>
  <si>
    <t>Kellybury</t>
  </si>
  <si>
    <t>Taylor Bishop</t>
  </si>
  <si>
    <t>+1-237-320-1187x234</t>
  </si>
  <si>
    <t>Garzahaven</t>
  </si>
  <si>
    <t>Casey Parks</t>
  </si>
  <si>
    <t>(756)928-3460</t>
  </si>
  <si>
    <t>Larsenview</t>
  </si>
  <si>
    <t>Joshua Holmes</t>
  </si>
  <si>
    <t>001-726-939-8164x8522</t>
  </si>
  <si>
    <t>Sullivanton</t>
  </si>
  <si>
    <t>Stephanie Stephenson</t>
  </si>
  <si>
    <t>West Paula</t>
  </si>
  <si>
    <t>Emily Perkins</t>
  </si>
  <si>
    <t>260-979-7473x05789</t>
  </si>
  <si>
    <t>Joshuatown</t>
  </si>
  <si>
    <t>Charles Webster</t>
  </si>
  <si>
    <t>001-582-504-9541</t>
  </si>
  <si>
    <t>Jenniferburgh</t>
  </si>
  <si>
    <t>Steven Simpson</t>
  </si>
  <si>
    <t>001-413-633-8078</t>
  </si>
  <si>
    <t>Hayesville</t>
  </si>
  <si>
    <t>Jaclyn Washington</t>
  </si>
  <si>
    <t>Johnhaven</t>
  </si>
  <si>
    <t>Sara Mckenzie</t>
  </si>
  <si>
    <t>540-700-5718x6850</t>
  </si>
  <si>
    <t>Coleborough</t>
  </si>
  <si>
    <t>Lacey Campbell</t>
  </si>
  <si>
    <t>+1-697-219-2292x4850</t>
  </si>
  <si>
    <t>South Jessicaburgh</t>
  </si>
  <si>
    <t>David Welch</t>
  </si>
  <si>
    <t>874-598-8959</t>
  </si>
  <si>
    <t>South Randall</t>
  </si>
  <si>
    <t>Kenneth Salazar</t>
  </si>
  <si>
    <t>897.829.8209x33066</t>
  </si>
  <si>
    <t>South Courtney</t>
  </si>
  <si>
    <t>Luis Lewis</t>
  </si>
  <si>
    <t>982-444-8015</t>
  </si>
  <si>
    <t>Lauramouth</t>
  </si>
  <si>
    <t>Morgan Griffin</t>
  </si>
  <si>
    <t>(209)728-0824</t>
  </si>
  <si>
    <t>East Jack</t>
  </si>
  <si>
    <t>Alexis Jarvis</t>
  </si>
  <si>
    <t>757-737-0855x0371</t>
  </si>
  <si>
    <t>Chavezshire</t>
  </si>
  <si>
    <t>Leslie Boyd</t>
  </si>
  <si>
    <t>741.617.5080</t>
  </si>
  <si>
    <t>Grahamhaven</t>
  </si>
  <si>
    <t>Katrina Small</t>
  </si>
  <si>
    <t>001-747-984-7477x2648</t>
  </si>
  <si>
    <t>East Kelly</t>
  </si>
  <si>
    <t>Joyce Gonzales</t>
  </si>
  <si>
    <t>571-614-9148</t>
  </si>
  <si>
    <t>Frankhaven</t>
  </si>
  <si>
    <t>William Gilmore</t>
  </si>
  <si>
    <t>(690)562-0528x375</t>
  </si>
  <si>
    <t>North Adam</t>
  </si>
  <si>
    <t>Curtis Evans</t>
  </si>
  <si>
    <t>Lake Christopherburgh</t>
  </si>
  <si>
    <t>Scott Smith</t>
  </si>
  <si>
    <t>(600)735-4003</t>
  </si>
  <si>
    <t>Wardland</t>
  </si>
  <si>
    <t>Danielle Rodriguez</t>
  </si>
  <si>
    <t>(835)699-0322x20338</t>
  </si>
  <si>
    <t>Stephenmouth</t>
  </si>
  <si>
    <t>Karl Williams</t>
  </si>
  <si>
    <t>520-766-9566x0097</t>
  </si>
  <si>
    <t>Torresberg</t>
  </si>
  <si>
    <t>Alex Williams</t>
  </si>
  <si>
    <t>826.344.7627x5395</t>
  </si>
  <si>
    <t>West Kathleenville</t>
  </si>
  <si>
    <t>Anthony Martinez</t>
  </si>
  <si>
    <t>(863)614-3295x07272</t>
  </si>
  <si>
    <t>Lamfort</t>
  </si>
  <si>
    <t>Justin Bailey</t>
  </si>
  <si>
    <t>Littleburgh</t>
  </si>
  <si>
    <t>Kathy Santos</t>
  </si>
  <si>
    <t>(843)615-3835x634</t>
  </si>
  <si>
    <t>South Catherine</t>
  </si>
  <si>
    <t>Walter Jones</t>
  </si>
  <si>
    <t>407-818-4161</t>
  </si>
  <si>
    <t>Maryburgh</t>
  </si>
  <si>
    <t>Jennifer Kelly</t>
  </si>
  <si>
    <t>(846)281-7250x848</t>
  </si>
  <si>
    <t>New Jose</t>
  </si>
  <si>
    <t>Nathan Goodman</t>
  </si>
  <si>
    <t>001-775-726-8249x263</t>
  </si>
  <si>
    <t>Barnetttown</t>
  </si>
  <si>
    <t>Alec Lawrence</t>
  </si>
  <si>
    <t>+1-655-937-6810x86466</t>
  </si>
  <si>
    <t>South Randy</t>
  </si>
  <si>
    <t>Geoffrey Taylor</t>
  </si>
  <si>
    <t>920.758.6223x4806</t>
  </si>
  <si>
    <t>East Angela</t>
  </si>
  <si>
    <t>Heidi Jackson</t>
  </si>
  <si>
    <t>235-930-8067x052</t>
  </si>
  <si>
    <t>Lake Elizabeth</t>
  </si>
  <si>
    <t>Maria Weaver</t>
  </si>
  <si>
    <t>+1-955-907-2414x706</t>
  </si>
  <si>
    <t>Brownberg</t>
  </si>
  <si>
    <t>Michael Odom</t>
  </si>
  <si>
    <t>+1-500-367-4578x360</t>
  </si>
  <si>
    <t>Erichaven</t>
  </si>
  <si>
    <t>Amanda Johnson</t>
  </si>
  <si>
    <t>296-270-0903x934</t>
  </si>
  <si>
    <t>Sanchezland</t>
  </si>
  <si>
    <t>Amber Harrison</t>
  </si>
  <si>
    <t>Rogersmouth</t>
  </si>
  <si>
    <t>Kim Jones</t>
  </si>
  <si>
    <t>(348)263-7390x6243</t>
  </si>
  <si>
    <t>East Karenland</t>
  </si>
  <si>
    <t>Carrie Rogers</t>
  </si>
  <si>
    <t>604.687.3651</t>
  </si>
  <si>
    <t>East Jennifer</t>
  </si>
  <si>
    <t>Thomas Hunter</t>
  </si>
  <si>
    <t>Port Jason</t>
  </si>
  <si>
    <t>Amy Buckley</t>
  </si>
  <si>
    <t>673.575.1067</t>
  </si>
  <si>
    <t>East Mary</t>
  </si>
  <si>
    <t>Sophia Stewart</t>
  </si>
  <si>
    <t>(776)212-4929</t>
  </si>
  <si>
    <t>North Daniel</t>
  </si>
  <si>
    <t>Christina Lowe</t>
  </si>
  <si>
    <t>(534)690-2527x0546</t>
  </si>
  <si>
    <t>East Wendy</t>
  </si>
  <si>
    <t>Richard Hall</t>
  </si>
  <si>
    <t>+1-820-292-1147x304</t>
  </si>
  <si>
    <t>Thompsonbury</t>
  </si>
  <si>
    <t>Daniel Key</t>
  </si>
  <si>
    <t>(840)310-0495</t>
  </si>
  <si>
    <t>Roblesberg</t>
  </si>
  <si>
    <t>Steven Lee</t>
  </si>
  <si>
    <t>462-563-9393x20063</t>
  </si>
  <si>
    <t>Nicholastown</t>
  </si>
  <si>
    <t>Richard Herring</t>
  </si>
  <si>
    <t>232.687.8774x63008</t>
  </si>
  <si>
    <t>Adrianfort</t>
  </si>
  <si>
    <t>Stephanie Brandt</t>
  </si>
  <si>
    <t>001-730-828-6427x384</t>
  </si>
  <si>
    <t>Greenland</t>
  </si>
  <si>
    <t>Julia Mendez</t>
  </si>
  <si>
    <t>Anthonyton</t>
  </si>
  <si>
    <t>Jeffrey Richard</t>
  </si>
  <si>
    <t>001-970-586-1874x33549</t>
  </si>
  <si>
    <t>East Josephland</t>
  </si>
  <si>
    <t>Judy Nguyen</t>
  </si>
  <si>
    <t>742-288-2308</t>
  </si>
  <si>
    <t>Lake Darrell</t>
  </si>
  <si>
    <t>Amy Dominguez PhD</t>
  </si>
  <si>
    <t>500.592.6678</t>
  </si>
  <si>
    <t>Lake Brandon</t>
  </si>
  <si>
    <t>John Bass</t>
  </si>
  <si>
    <t>+1-556-939-6465x442</t>
  </si>
  <si>
    <t>Breanna Kaufman</t>
  </si>
  <si>
    <t>001-982-290-1758x450</t>
  </si>
  <si>
    <t>Kevinstad</t>
  </si>
  <si>
    <t>Kyle Mccarthy</t>
  </si>
  <si>
    <t>Valenzuelafort</t>
  </si>
  <si>
    <t>Christian Arroyo</t>
  </si>
  <si>
    <t>001-528-538-3363x65808</t>
  </si>
  <si>
    <t>North Mallory</t>
  </si>
  <si>
    <t>Mary Hicks</t>
  </si>
  <si>
    <t>790.466.8548</t>
  </si>
  <si>
    <t>Samuelton</t>
  </si>
  <si>
    <t>Mitchell Lee</t>
  </si>
  <si>
    <t>717-744-9289x32040</t>
  </si>
  <si>
    <t>Alexanderbury</t>
  </si>
  <si>
    <t>David Barnes</t>
  </si>
  <si>
    <t>981-651-7061x12658</t>
  </si>
  <si>
    <t>Hansenbury</t>
  </si>
  <si>
    <t>Thomas Kramer</t>
  </si>
  <si>
    <t>(333)899-8866x92260</t>
  </si>
  <si>
    <t>Smithton</t>
  </si>
  <si>
    <t>Alicia Miller</t>
  </si>
  <si>
    <t>534.670.9997x23913</t>
  </si>
  <si>
    <t>East Margaret</t>
  </si>
  <si>
    <t>Kevin Reed</t>
  </si>
  <si>
    <t>(778)938-1119x88731</t>
  </si>
  <si>
    <t>South Jeremyside</t>
  </si>
  <si>
    <t>Alexander Ferguson</t>
  </si>
  <si>
    <t>674.352.4603x841</t>
  </si>
  <si>
    <t>Hector Benton</t>
  </si>
  <si>
    <t>001-866-640-1133x887</t>
  </si>
  <si>
    <t>Annport</t>
  </si>
  <si>
    <t>Mr. Michael Davis</t>
  </si>
  <si>
    <t>(709)264-0204x92878</t>
  </si>
  <si>
    <t>New Benjaminbury</t>
  </si>
  <si>
    <t>Shawn Johnson</t>
  </si>
  <si>
    <t>001-486-425-2935</t>
  </si>
  <si>
    <t>South Sonya</t>
  </si>
  <si>
    <t>Megan Smith</t>
  </si>
  <si>
    <t>740.347.3399x883</t>
  </si>
  <si>
    <t>New Anthonyshire</t>
  </si>
  <si>
    <t>Ashley Lewis</t>
  </si>
  <si>
    <t>813-389-7588x4070</t>
  </si>
  <si>
    <t>Laurenside</t>
  </si>
  <si>
    <t>Denise Curry MD</t>
  </si>
  <si>
    <t>(541)597-9749</t>
  </si>
  <si>
    <t>Michaelhaven</t>
  </si>
  <si>
    <t>Jason Johns</t>
  </si>
  <si>
    <t>516-998-6394</t>
  </si>
  <si>
    <t>Amandaberg</t>
  </si>
  <si>
    <t>Rachel Patrick</t>
  </si>
  <si>
    <t>776.784.4362</t>
  </si>
  <si>
    <t>Port Mary</t>
  </si>
  <si>
    <t>Edward Cook</t>
  </si>
  <si>
    <t>505.619.3066x4269</t>
  </si>
  <si>
    <t>Ferrellchester</t>
  </si>
  <si>
    <t>Tiffany Adams</t>
  </si>
  <si>
    <t>+1-487-471-7982x427</t>
  </si>
  <si>
    <t>North Louismouth</t>
  </si>
  <si>
    <t>Matthew Martinez</t>
  </si>
  <si>
    <t>(881)539-9710x251</t>
  </si>
  <si>
    <t>David Hill</t>
  </si>
  <si>
    <t>(260)310-0787x73098</t>
  </si>
  <si>
    <t>Lancebury</t>
  </si>
  <si>
    <t>Chris Conrad</t>
  </si>
  <si>
    <t>001-469-743-7193x21238</t>
  </si>
  <si>
    <t>Lake Robertfort</t>
  </si>
  <si>
    <t>Christina Sanchez</t>
  </si>
  <si>
    <t>255.540.1815x4521</t>
  </si>
  <si>
    <t>Gilbertmouth</t>
  </si>
  <si>
    <t>Ashley Anderson</t>
  </si>
  <si>
    <t>001-585-989-6828x3702</t>
  </si>
  <si>
    <t>Lake Christopherview</t>
  </si>
  <si>
    <t>Lance Baker</t>
  </si>
  <si>
    <t>982.637.7208</t>
  </si>
  <si>
    <t>Benjamin Jones</t>
  </si>
  <si>
    <t>663-395-3570</t>
  </si>
  <si>
    <t>Gutierrezborough</t>
  </si>
  <si>
    <t>Troy Smith</t>
  </si>
  <si>
    <t>987.234.2324x0402</t>
  </si>
  <si>
    <t>Port Melissamouth</t>
  </si>
  <si>
    <t>Lisa Williams</t>
  </si>
  <si>
    <t>(853)222-3890x381</t>
  </si>
  <si>
    <t>Lake Jefferyshire</t>
  </si>
  <si>
    <t>Eugene Mcdaniel</t>
  </si>
  <si>
    <t>+1-304-301-2973x1415</t>
  </si>
  <si>
    <t>Heathmouth</t>
  </si>
  <si>
    <t>Holly Moran</t>
  </si>
  <si>
    <t>(665)787-6725x2139</t>
  </si>
  <si>
    <t>New Anthony</t>
  </si>
  <si>
    <t>Joseph Johnson</t>
  </si>
  <si>
    <t>(942)932-3805x3743</t>
  </si>
  <si>
    <t>Dylanstad</t>
  </si>
  <si>
    <t>Megan Mullins</t>
  </si>
  <si>
    <t>689.245.0550x8578</t>
  </si>
  <si>
    <t>Herbertport</t>
  </si>
  <si>
    <t>Anthony Russell</t>
  </si>
  <si>
    <t>(414)787-5745x0742</t>
  </si>
  <si>
    <t>Moorefort</t>
  </si>
  <si>
    <t>Andrew Villarreal</t>
  </si>
  <si>
    <t>(366)233-6095</t>
  </si>
  <si>
    <t>West Amandafurt</t>
  </si>
  <si>
    <t>Megan Howard</t>
  </si>
  <si>
    <t>(506)378-0481x6221</t>
  </si>
  <si>
    <t>New Andrewfort</t>
  </si>
  <si>
    <t>Leslie Diaz</t>
  </si>
  <si>
    <t>(503)415-5305</t>
  </si>
  <si>
    <t>South Aprilburgh</t>
  </si>
  <si>
    <t>Malik Gomez</t>
  </si>
  <si>
    <t>703.201.4037</t>
  </si>
  <si>
    <t>Adkinsport</t>
  </si>
  <si>
    <t>Sarah Anderson</t>
  </si>
  <si>
    <t>243.711.8287</t>
  </si>
  <si>
    <t>West William</t>
  </si>
  <si>
    <t>Mary Rios</t>
  </si>
  <si>
    <t>272.294.0605</t>
  </si>
  <si>
    <t>Zavalafort</t>
  </si>
  <si>
    <t>Jessica Reid</t>
  </si>
  <si>
    <t>+1-664-839-3433x7503</t>
  </si>
  <si>
    <t>Lake Adrianview</t>
  </si>
  <si>
    <t>Jamie Flores</t>
  </si>
  <si>
    <t>662.228.0219x86769</t>
  </si>
  <si>
    <t>East Jaclyn</t>
  </si>
  <si>
    <t>Emily Blankenship</t>
  </si>
  <si>
    <t>+1-253-833-8967x83957</t>
  </si>
  <si>
    <t>Doughertyshire</t>
  </si>
  <si>
    <t>Maria Anderson</t>
  </si>
  <si>
    <t>(919)626-0994</t>
  </si>
  <si>
    <t>Lake Tinabury</t>
  </si>
  <si>
    <t>Stacie Vazquez</t>
  </si>
  <si>
    <t>972.247.7099x4940</t>
  </si>
  <si>
    <t>Butlerville</t>
  </si>
  <si>
    <t>Matthew Hayes</t>
  </si>
  <si>
    <t>955.317.5028</t>
  </si>
  <si>
    <t>Jessicamouth</t>
  </si>
  <si>
    <t>Russell Gibson</t>
  </si>
  <si>
    <t>239-897-8788</t>
  </si>
  <si>
    <t>Sandersborough</t>
  </si>
  <si>
    <t>Jeffrey Wright</t>
  </si>
  <si>
    <t>001-453-773-0753x592</t>
  </si>
  <si>
    <t>New Johnstad</t>
  </si>
  <si>
    <t>Cassandra Baker</t>
  </si>
  <si>
    <t>Byrdshire</t>
  </si>
  <si>
    <t>Tiffany Downs</t>
  </si>
  <si>
    <t>(517)605-1627x949</t>
  </si>
  <si>
    <t>Port Brianshire</t>
  </si>
  <si>
    <t>Daniel Holland</t>
  </si>
  <si>
    <t>538.203.8490x600</t>
  </si>
  <si>
    <t>South Michaelhaven</t>
  </si>
  <si>
    <t>Joel Wright</t>
  </si>
  <si>
    <t>688-803-6123</t>
  </si>
  <si>
    <t>Amandafort</t>
  </si>
  <si>
    <t>Jeffrey Campbell</t>
  </si>
  <si>
    <t>South Thomasmouth</t>
  </si>
  <si>
    <t>Greg White</t>
  </si>
  <si>
    <t>485.361.9710</t>
  </si>
  <si>
    <t>Markside</t>
  </si>
  <si>
    <t>Jamie Porter</t>
  </si>
  <si>
    <t>365.700.9053</t>
  </si>
  <si>
    <t>Monicastad</t>
  </si>
  <si>
    <t>Laura Sparks</t>
  </si>
  <si>
    <t>440.455.9253</t>
  </si>
  <si>
    <t>Estesburgh</t>
  </si>
  <si>
    <t>Matthew Ellison</t>
  </si>
  <si>
    <t>204.323.4181</t>
  </si>
  <si>
    <t>Ryanville</t>
  </si>
  <si>
    <t>Lori Benjamin</t>
  </si>
  <si>
    <t>West Mariechester</t>
  </si>
  <si>
    <t>Keith Drake</t>
  </si>
  <si>
    <t>001-290-531-9264</t>
  </si>
  <si>
    <t>Ronnie Duncan</t>
  </si>
  <si>
    <t>001-523-371-6262x6860</t>
  </si>
  <si>
    <t>Port Matthewton</t>
  </si>
  <si>
    <t>Thomas King</t>
  </si>
  <si>
    <t>587.512.9061x5419</t>
  </si>
  <si>
    <t>Breannaberg</t>
  </si>
  <si>
    <t>Christina Martinez</t>
  </si>
  <si>
    <t>New Scott</t>
  </si>
  <si>
    <t>Virginia Caldwell</t>
  </si>
  <si>
    <t>973.902.2498x932</t>
  </si>
  <si>
    <t>Lake Theresaport</t>
  </si>
  <si>
    <t>Diana Farmer</t>
  </si>
  <si>
    <t>384-714-1950</t>
  </si>
  <si>
    <t>Lake James</t>
  </si>
  <si>
    <t>Tyler Callahan</t>
  </si>
  <si>
    <t>504-321-8920</t>
  </si>
  <si>
    <t>West Mariahborough</t>
  </si>
  <si>
    <t>Kenneth Brown</t>
  </si>
  <si>
    <t>679.257.0482</t>
  </si>
  <si>
    <t>Kingmouth</t>
  </si>
  <si>
    <t>Karen Thomas</t>
  </si>
  <si>
    <t>294-828-2577x833</t>
  </si>
  <si>
    <t>Davidborough</t>
  </si>
  <si>
    <t>Mary Moore</t>
  </si>
  <si>
    <t>001-310-820-8391x5064</t>
  </si>
  <si>
    <t>Keithside</t>
  </si>
  <si>
    <t>William Hanson</t>
  </si>
  <si>
    <t>414-372-5038</t>
  </si>
  <si>
    <t>Kathrynview</t>
  </si>
  <si>
    <t>Debra Peterson</t>
  </si>
  <si>
    <t>(384)795-4522x53119</t>
  </si>
  <si>
    <t>Port Franciscofurt</t>
  </si>
  <si>
    <t>Edward Davis</t>
  </si>
  <si>
    <t>941.790.9578x10411</t>
  </si>
  <si>
    <t>South Danielland</t>
  </si>
  <si>
    <t>Heather Gomez</t>
  </si>
  <si>
    <t>(484)987-9325x13900</t>
  </si>
  <si>
    <t>New Melissastad</t>
  </si>
  <si>
    <t>Rick Schwartz</t>
  </si>
  <si>
    <t>+1-739-265-0557x388</t>
  </si>
  <si>
    <t>East Nancy</t>
  </si>
  <si>
    <t>Taylor Brown</t>
  </si>
  <si>
    <t>339-692-4574x953</t>
  </si>
  <si>
    <t>Williamton</t>
  </si>
  <si>
    <t>Maxwell Robbins</t>
  </si>
  <si>
    <t>258-916-9979</t>
  </si>
  <si>
    <t>North Markmouth</t>
  </si>
  <si>
    <t>Daniel Wright</t>
  </si>
  <si>
    <t>+1-681-254-9543x2737</t>
  </si>
  <si>
    <t>Lake Monique</t>
  </si>
  <si>
    <t>Brittney Little</t>
  </si>
  <si>
    <t>743-503-4852x91701</t>
  </si>
  <si>
    <t>Joshuafurt</t>
  </si>
  <si>
    <t>Jose Rodriguez</t>
  </si>
  <si>
    <t>686.711.4570x26989</t>
  </si>
  <si>
    <t>South Gregory</t>
  </si>
  <si>
    <t>Lindsey Tran</t>
  </si>
  <si>
    <t>760-351-3908x58145</t>
  </si>
  <si>
    <t>Johnsonborough</t>
  </si>
  <si>
    <t>Karen Sullivan</t>
  </si>
  <si>
    <t>+1-390-845-1541x055</t>
  </si>
  <si>
    <t>West Devintown</t>
  </si>
  <si>
    <t>Mark Jones</t>
  </si>
  <si>
    <t>(489)722-1978x966</t>
  </si>
  <si>
    <t>New Timothyview</t>
  </si>
  <si>
    <t>Joshua Fisher</t>
  </si>
  <si>
    <t>709.633.1092</t>
  </si>
  <si>
    <t>Ashley Lutz</t>
  </si>
  <si>
    <t>908-585-3533x3155</t>
  </si>
  <si>
    <t>Rogersport</t>
  </si>
  <si>
    <t>Christina Crawford</t>
  </si>
  <si>
    <t>+1-434-522-4600x78665</t>
  </si>
  <si>
    <t>Melanie Johnson MD</t>
  </si>
  <si>
    <t>Justin Kelly</t>
  </si>
  <si>
    <t>674.283.2584</t>
  </si>
  <si>
    <t>Ashleyshire</t>
  </si>
  <si>
    <t>Laurie Perez</t>
  </si>
  <si>
    <t>458-894-6407x97990</t>
  </si>
  <si>
    <t>Port Joshuaburgh</t>
  </si>
  <si>
    <t>Julia Bullock</t>
  </si>
  <si>
    <t>Lake Juan</t>
  </si>
  <si>
    <t>Mary Cooper</t>
  </si>
  <si>
    <t>592.570.3350</t>
  </si>
  <si>
    <t>Brentfurt</t>
  </si>
  <si>
    <t>Jennifer Riley</t>
  </si>
  <si>
    <t>001-501-576-2768x256</t>
  </si>
  <si>
    <t>South Jenniferchester</t>
  </si>
  <si>
    <t>Michael Thomas</t>
  </si>
  <si>
    <t>001-673-994-4991x041</t>
  </si>
  <si>
    <t>Jacobsonview</t>
  </si>
  <si>
    <t>Kyle Stafford</t>
  </si>
  <si>
    <t>296-404-8928x5043</t>
  </si>
  <si>
    <t>West Marissa</t>
  </si>
  <si>
    <t>Shannon Long</t>
  </si>
  <si>
    <t>Hollyburgh</t>
  </si>
  <si>
    <t>Desiree Patel</t>
  </si>
  <si>
    <t>Michelle Rodriguez</t>
  </si>
  <si>
    <t>(814)637-6930x0718</t>
  </si>
  <si>
    <t>North Amy</t>
  </si>
  <si>
    <t>Julie Randall</t>
  </si>
  <si>
    <t>North Maurice</t>
  </si>
  <si>
    <t>Darin Hopkins</t>
  </si>
  <si>
    <t>001-950-747-6255</t>
  </si>
  <si>
    <t>South Amandamouth</t>
  </si>
  <si>
    <t>Jordan Walker</t>
  </si>
  <si>
    <t>(201)312-5190x08755</t>
  </si>
  <si>
    <t>Patriciaburgh</t>
  </si>
  <si>
    <t>Colleen Turner</t>
  </si>
  <si>
    <t>580.333.0317</t>
  </si>
  <si>
    <t>Edwardbury</t>
  </si>
  <si>
    <t>Michelle Lewis</t>
  </si>
  <si>
    <t>Daniellefurt</t>
  </si>
  <si>
    <t>Edward James</t>
  </si>
  <si>
    <t>644.896.1005x1931</t>
  </si>
  <si>
    <t>Greenchester</t>
  </si>
  <si>
    <t>Dr. Jacqueline Stevens MD</t>
  </si>
  <si>
    <t>953-988-7805x338</t>
  </si>
  <si>
    <t>Perezville</t>
  </si>
  <si>
    <t>Terry Roach</t>
  </si>
  <si>
    <t>001-624-491-1063</t>
  </si>
  <si>
    <t>Marciaton</t>
  </si>
  <si>
    <t>Jennifer Ryan</t>
  </si>
  <si>
    <t>437-646-4205</t>
  </si>
  <si>
    <t>Port Jessica</t>
  </si>
  <si>
    <t>Tina Fitzgerald</t>
  </si>
  <si>
    <t>579-547-2238</t>
  </si>
  <si>
    <t>East Roy</t>
  </si>
  <si>
    <t>Rachael Frazier</t>
  </si>
  <si>
    <t>704-962-7446x5606</t>
  </si>
  <si>
    <t>Tonya Price</t>
  </si>
  <si>
    <t>Campbellburgh</t>
  </si>
  <si>
    <t>Stuart Bennett</t>
  </si>
  <si>
    <t>508.527.8970</t>
  </si>
  <si>
    <t>Cooperview</t>
  </si>
  <si>
    <t>Melinda Patrick</t>
  </si>
  <si>
    <t>665-766-1349</t>
  </si>
  <si>
    <t>North Valerie</t>
  </si>
  <si>
    <t>David Rogers</t>
  </si>
  <si>
    <t>616.269.0090</t>
  </si>
  <si>
    <t>Heathshire</t>
  </si>
  <si>
    <t>April Fischer</t>
  </si>
  <si>
    <t>582-300-3826x78218</t>
  </si>
  <si>
    <t>Collinsfort</t>
  </si>
  <si>
    <t>Mariah Peterson</t>
  </si>
  <si>
    <t>New Kylehaven</t>
  </si>
  <si>
    <t>Katherine Hammond</t>
  </si>
  <si>
    <t>602-204-5679x4419</t>
  </si>
  <si>
    <t>West Sharon</t>
  </si>
  <si>
    <t>Jacob Smith</t>
  </si>
  <si>
    <t>001-628-465-1240x17228</t>
  </si>
  <si>
    <t>Port Tammyview</t>
  </si>
  <si>
    <t>Lance Thomas</t>
  </si>
  <si>
    <t>Georgefort</t>
  </si>
  <si>
    <t>Julia Hernandez</t>
  </si>
  <si>
    <t>(794)462-9891</t>
  </si>
  <si>
    <t>South Garybury</t>
  </si>
  <si>
    <t>Zachary Taylor</t>
  </si>
  <si>
    <t>Lucasside</t>
  </si>
  <si>
    <t>Jared Young</t>
  </si>
  <si>
    <t>320.716.9332</t>
  </si>
  <si>
    <t>North Donnaland</t>
  </si>
  <si>
    <t>Justin Clark</t>
  </si>
  <si>
    <t>(810)931-4898</t>
  </si>
  <si>
    <t>Port Danielletown</t>
  </si>
  <si>
    <t>Jordan Baker</t>
  </si>
  <si>
    <t>001-526-789-3938x226</t>
  </si>
  <si>
    <t>West Sherrystad</t>
  </si>
  <si>
    <t>Andrea Forbes</t>
  </si>
  <si>
    <t>262.512.9097x5947</t>
  </si>
  <si>
    <t>Travisville</t>
  </si>
  <si>
    <t>Cynthia Manning</t>
  </si>
  <si>
    <t>409.439.4416x200</t>
  </si>
  <si>
    <t>Shannonmouth</t>
  </si>
  <si>
    <t>Tristan Johnson Jr.</t>
  </si>
  <si>
    <t>811.856.1166</t>
  </si>
  <si>
    <t>Christopherport</t>
  </si>
  <si>
    <t>Caleb Perez</t>
  </si>
  <si>
    <t>619.539.8524x188</t>
  </si>
  <si>
    <t>North Amberfort</t>
  </si>
  <si>
    <t>Breanna Burke</t>
  </si>
  <si>
    <t>001-893-561-9294</t>
  </si>
  <si>
    <t>Richard Joseph</t>
  </si>
  <si>
    <t>797.867.1383x2160</t>
  </si>
  <si>
    <t>Howardton</t>
  </si>
  <si>
    <t>Andrew Walker</t>
  </si>
  <si>
    <t>South Jennifershire</t>
  </si>
  <si>
    <t>Laura Mahoney</t>
  </si>
  <si>
    <t>+1-693-610-3350x118</t>
  </si>
  <si>
    <t>Port Howard</t>
  </si>
  <si>
    <t>Joanna Thomas</t>
  </si>
  <si>
    <t>Pricetown</t>
  </si>
  <si>
    <t>Heather Livingston</t>
  </si>
  <si>
    <t>685-569-5561</t>
  </si>
  <si>
    <t>Ramosview</t>
  </si>
  <si>
    <t>Kathleen Chandler</t>
  </si>
  <si>
    <t>Lake Anthonyfurt</t>
  </si>
  <si>
    <t>Joseph Johnston</t>
  </si>
  <si>
    <t>+1-385-691-2306x21924</t>
  </si>
  <si>
    <t>East Cathyfurt</t>
  </si>
  <si>
    <t>Kelly Smith</t>
  </si>
  <si>
    <t>834.996.3806</t>
  </si>
  <si>
    <t>Bentleyport</t>
  </si>
  <si>
    <t>Jonathan Brown</t>
  </si>
  <si>
    <t>Lake Phillip</t>
  </si>
  <si>
    <t>Paul Taylor</t>
  </si>
  <si>
    <t>+1-629-271-5684x00476</t>
  </si>
  <si>
    <t>South Charlesburgh</t>
  </si>
  <si>
    <t>Sandra Combs</t>
  </si>
  <si>
    <t>332.971.9587</t>
  </si>
  <si>
    <t>Jessicafurt</t>
  </si>
  <si>
    <t>Jeffrey Collins</t>
  </si>
  <si>
    <t>+1-786-253-6608x3409</t>
  </si>
  <si>
    <t>Lucaston</t>
  </si>
  <si>
    <t>Karen Johnson</t>
  </si>
  <si>
    <t>+1-763-887-0000x705</t>
  </si>
  <si>
    <t>Andrewtown</t>
  </si>
  <si>
    <t>Dominic Stevenson</t>
  </si>
  <si>
    <t>001-443-575-3016x1275</t>
  </si>
  <si>
    <t>Erinville</t>
  </si>
  <si>
    <t>Kevin Garrett</t>
  </si>
  <si>
    <t>939.297.9410</t>
  </si>
  <si>
    <t>South Frankport</t>
  </si>
  <si>
    <t>Cheryl Herrera</t>
  </si>
  <si>
    <t>947.660.0416</t>
  </si>
  <si>
    <t>Jamesbury</t>
  </si>
  <si>
    <t>Juan Castillo</t>
  </si>
  <si>
    <t>460-926-1016x4770</t>
  </si>
  <si>
    <t>Cobbberg</t>
  </si>
  <si>
    <t>Nicholas Smith</t>
  </si>
  <si>
    <t>823.471.3736x360</t>
  </si>
  <si>
    <t>Rodriguezside</t>
  </si>
  <si>
    <t>Monique Perez</t>
  </si>
  <si>
    <t>(271)584-8936</t>
  </si>
  <si>
    <t>New Mariatown</t>
  </si>
  <si>
    <t>Anna Huff</t>
  </si>
  <si>
    <t>(990)416-7209</t>
  </si>
  <si>
    <t>Lake Larryfort</t>
  </si>
  <si>
    <t>Angela Woodward</t>
  </si>
  <si>
    <t>(894)805-1816x78985</t>
  </si>
  <si>
    <t>Lake Thomasberg</t>
  </si>
  <si>
    <t>Erika Fernandez</t>
  </si>
  <si>
    <t>365.546.8156x2908</t>
  </si>
  <si>
    <t>New Lisa</t>
  </si>
  <si>
    <t>Christie Ruiz</t>
  </si>
  <si>
    <t>001-746-422-6351x425</t>
  </si>
  <si>
    <t>North Tiffanyfurt</t>
  </si>
  <si>
    <t>Carolyn Davis</t>
  </si>
  <si>
    <t>734-609-3007x4621</t>
  </si>
  <si>
    <t>New Jamesberg</t>
  </si>
  <si>
    <t>Jill Andrews</t>
  </si>
  <si>
    <t>377-616-0119x825</t>
  </si>
  <si>
    <t>Richardsonville</t>
  </si>
  <si>
    <t>Jean Garcia</t>
  </si>
  <si>
    <t>+1-446-940-2538x44383</t>
  </si>
  <si>
    <t>Nicholasborough</t>
  </si>
  <si>
    <t>Cory Miller</t>
  </si>
  <si>
    <t>(960)467-6228x564</t>
  </si>
  <si>
    <t>South Justin</t>
  </si>
  <si>
    <t>Carol Lewis</t>
  </si>
  <si>
    <t>001-679-915-8059x560</t>
  </si>
  <si>
    <t>Acostastad</t>
  </si>
  <si>
    <t>Lauren Smith</t>
  </si>
  <si>
    <t>001-921-340-2699x345</t>
  </si>
  <si>
    <t>Port Kennethhaven</t>
  </si>
  <si>
    <t>George Vaughan</t>
  </si>
  <si>
    <t>Harrisfort</t>
  </si>
  <si>
    <t>Oscar Lopez</t>
  </si>
  <si>
    <t>+1-250-652-9692x8072</t>
  </si>
  <si>
    <t>Port Meagan</t>
  </si>
  <si>
    <t>Nathan Lawson</t>
  </si>
  <si>
    <t>(899)722-9721x269</t>
  </si>
  <si>
    <t>Danielburgh</t>
  </si>
  <si>
    <t>Ricky Dudley</t>
  </si>
  <si>
    <t>West Mariaside</t>
  </si>
  <si>
    <t>Nicholas Turner</t>
  </si>
  <si>
    <t>241-427-5977</t>
  </si>
  <si>
    <t>Nataliechester</t>
  </si>
  <si>
    <t>Victoria Santos</t>
  </si>
  <si>
    <t>(536)553-6809x2799</t>
  </si>
  <si>
    <t>South Derek</t>
  </si>
  <si>
    <t>Marc Thomas</t>
  </si>
  <si>
    <t>001-884-685-9852x90431</t>
  </si>
  <si>
    <t>West Sheryl</t>
  </si>
  <si>
    <t>Heather Fernandez</t>
  </si>
  <si>
    <t>North Alice</t>
  </si>
  <si>
    <t>Michael Simon</t>
  </si>
  <si>
    <t>694.645.5729x991</t>
  </si>
  <si>
    <t>West Allisonton</t>
  </si>
  <si>
    <t>Laura Walker</t>
  </si>
  <si>
    <t>001-361-719-5408x2167</t>
  </si>
  <si>
    <t>East Justinbury</t>
  </si>
  <si>
    <t>Ryan Hudson</t>
  </si>
  <si>
    <t>788.557.9100</t>
  </si>
  <si>
    <t>West Chad</t>
  </si>
  <si>
    <t>Sheila Hughes</t>
  </si>
  <si>
    <t>786.831.2652</t>
  </si>
  <si>
    <t>Lake Daisyfurt</t>
  </si>
  <si>
    <t>Amanda Weaver</t>
  </si>
  <si>
    <t>(431)457-6735</t>
  </si>
  <si>
    <t>Juanmouth</t>
  </si>
  <si>
    <t>Patrick Jones</t>
  </si>
  <si>
    <t>530-464-2675</t>
  </si>
  <si>
    <t>Lake Beckyport</t>
  </si>
  <si>
    <t>Thomas Hamilton</t>
  </si>
  <si>
    <t>(393)674-4590</t>
  </si>
  <si>
    <t>Friedmanshire</t>
  </si>
  <si>
    <t>Aaron Taylor</t>
  </si>
  <si>
    <t>(215)651-3541x6303</t>
  </si>
  <si>
    <t>East Virginiabury</t>
  </si>
  <si>
    <t>Vanessa Salas</t>
  </si>
  <si>
    <t>+1-571-430-2258x15224</t>
  </si>
  <si>
    <t>Christianstad</t>
  </si>
  <si>
    <t>Peter Ballard</t>
  </si>
  <si>
    <t>South Robertside</t>
  </si>
  <si>
    <t>Ronald Silva</t>
  </si>
  <si>
    <t>Barrettchester</t>
  </si>
  <si>
    <t>Wesley Jones</t>
  </si>
  <si>
    <t>+1-949-341-7530x65640</t>
  </si>
  <si>
    <t>Lake Teresa</t>
  </si>
  <si>
    <t>Brenda Conley</t>
  </si>
  <si>
    <t>(218)633-1598</t>
  </si>
  <si>
    <t>New Matthew</t>
  </si>
  <si>
    <t>Matthew Pacheco</t>
  </si>
  <si>
    <t>(540)496-7821</t>
  </si>
  <si>
    <t>Frederickfurt</t>
  </si>
  <si>
    <t>Mary Hendrix</t>
  </si>
  <si>
    <t>888.950.1890x01478</t>
  </si>
  <si>
    <t>Stevenport</t>
  </si>
  <si>
    <t>Nicole Gonzalez</t>
  </si>
  <si>
    <t>(322)489-5396x13534</t>
  </si>
  <si>
    <t>Saramouth</t>
  </si>
  <si>
    <t>Benjamin Harris</t>
  </si>
  <si>
    <t>001-924-603-6067x53998</t>
  </si>
  <si>
    <t>Samuelshire</t>
  </si>
  <si>
    <t>Lisa Hamilton</t>
  </si>
  <si>
    <t>797-925-2500</t>
  </si>
  <si>
    <t>Smithport</t>
  </si>
  <si>
    <t>April King DVM</t>
  </si>
  <si>
    <t>Baileyberg</t>
  </si>
  <si>
    <t>+1-201-242-3458x8459</t>
  </si>
  <si>
    <t>West Annette</t>
  </si>
  <si>
    <t>Thomas Evans</t>
  </si>
  <si>
    <t>622.894.7898</t>
  </si>
  <si>
    <t>Abbotttown</t>
  </si>
  <si>
    <t>Kimberly Brandt</t>
  </si>
  <si>
    <t>001-374-634-2295x744</t>
  </si>
  <si>
    <t>West Seanport</t>
  </si>
  <si>
    <t>Hannah Norris</t>
  </si>
  <si>
    <t>+1-875-484-7617x88065</t>
  </si>
  <si>
    <t>New Christopherhaven</t>
  </si>
  <si>
    <t>Stephen Lowe</t>
  </si>
  <si>
    <t>001-843-523-6696x49056</t>
  </si>
  <si>
    <t>South Rachelmouth</t>
  </si>
  <si>
    <t>Tammy Perez</t>
  </si>
  <si>
    <t>001-618-390-8546</t>
  </si>
  <si>
    <t>Gregoryshire</t>
  </si>
  <si>
    <t>Lindsey Garrett</t>
  </si>
  <si>
    <t>(242)707-8270x7581</t>
  </si>
  <si>
    <t>North Tommytown</t>
  </si>
  <si>
    <t>Dawn Pacheco</t>
  </si>
  <si>
    <t>Emilychester</t>
  </si>
  <si>
    <t>Brandon Davis</t>
  </si>
  <si>
    <t>001-936-216-1810x78258</t>
  </si>
  <si>
    <t>North Stephanie</t>
  </si>
  <si>
    <t>Peter Riggs</t>
  </si>
  <si>
    <t>422.271.6435</t>
  </si>
  <si>
    <t>North Desireeburgh</t>
  </si>
  <si>
    <t>Erin Jensen</t>
  </si>
  <si>
    <t>001-711-241-9069x76968</t>
  </si>
  <si>
    <t>Stephanieberg</t>
  </si>
  <si>
    <t>Douglas Dougherty</t>
  </si>
  <si>
    <t>North Lynn</t>
  </si>
  <si>
    <t>Kristina Mcmillan</t>
  </si>
  <si>
    <t>(809)542-7778x3864</t>
  </si>
  <si>
    <t>North Jenniferburgh</t>
  </si>
  <si>
    <t>Kelly Gibbs</t>
  </si>
  <si>
    <t>(431)873-0412x0550</t>
  </si>
  <si>
    <t>Port Matthew</t>
  </si>
  <si>
    <t>Victoria Campbell</t>
  </si>
  <si>
    <t>+1-711-601-5633x26893</t>
  </si>
  <si>
    <t>Rebeccaview</t>
  </si>
  <si>
    <t>Nathan Harrell</t>
  </si>
  <si>
    <t>447.792.4491x7460</t>
  </si>
  <si>
    <t>North Sarahside</t>
  </si>
  <si>
    <t>Gary Reed</t>
  </si>
  <si>
    <t>329.606.7207x308</t>
  </si>
  <si>
    <t>North Tabitha</t>
  </si>
  <si>
    <t>Jamie Collins</t>
  </si>
  <si>
    <t>333.855.6661x80630</t>
  </si>
  <si>
    <t>East Caitlinhaven</t>
  </si>
  <si>
    <t>Erica Murray</t>
  </si>
  <si>
    <t>739-383-4249x554</t>
  </si>
  <si>
    <t>South Ryanview</t>
  </si>
  <si>
    <t>John Cochran</t>
  </si>
  <si>
    <t>838-478-0279x66347</t>
  </si>
  <si>
    <t>Griffithshire</t>
  </si>
  <si>
    <t>Amber Wright</t>
  </si>
  <si>
    <t>(579)805-3649</t>
  </si>
  <si>
    <t>Hailey Wagner</t>
  </si>
  <si>
    <t>(309)624-2154</t>
  </si>
  <si>
    <t>Port Michaelview</t>
  </si>
  <si>
    <t>Megan Peterson</t>
  </si>
  <si>
    <t>704-425-8965x045</t>
  </si>
  <si>
    <t>New Michellefurt</t>
  </si>
  <si>
    <t>Jeffrey Medina</t>
  </si>
  <si>
    <t>481.612.1701</t>
  </si>
  <si>
    <t>West Steve</t>
  </si>
  <si>
    <t>Robert Mcneil</t>
  </si>
  <si>
    <t>614.809.9902x8136</t>
  </si>
  <si>
    <t>Ryanbury</t>
  </si>
  <si>
    <t>Matthew Smith</t>
  </si>
  <si>
    <t>+1-247-227-4947x103</t>
  </si>
  <si>
    <t>West Jasonchester</t>
  </si>
  <si>
    <t>Jennifer Oliver</t>
  </si>
  <si>
    <t>657-785-2822x07638</t>
  </si>
  <si>
    <t>Wendymouth</t>
  </si>
  <si>
    <t>Sharon Johnson</t>
  </si>
  <si>
    <t>+1-281-892-2148x348</t>
  </si>
  <si>
    <t>East Jason</t>
  </si>
  <si>
    <t>Scott Allen</t>
  </si>
  <si>
    <t>462.530.0908x37606</t>
  </si>
  <si>
    <t>South Josephton</t>
  </si>
  <si>
    <t>Amanda Young</t>
  </si>
  <si>
    <t>New Richard</t>
  </si>
  <si>
    <t>William Kim</t>
  </si>
  <si>
    <t>001-464-735-8153x113</t>
  </si>
  <si>
    <t>Port Christopherchester</t>
  </si>
  <si>
    <t>Mr. Dustin Atkinson Jr.</t>
  </si>
  <si>
    <t>772.447.8397x821</t>
  </si>
  <si>
    <t>New Edward</t>
  </si>
  <si>
    <t>Rachel Johnson</t>
  </si>
  <si>
    <t>001-741-942-8822</t>
  </si>
  <si>
    <t>Laurenfort</t>
  </si>
  <si>
    <t>Charles Gonzales</t>
  </si>
  <si>
    <t>001-798-283-6774x1950</t>
  </si>
  <si>
    <t>South Markstad</t>
  </si>
  <si>
    <t>Joseph Lewis</t>
  </si>
  <si>
    <t>848-725-9121x414</t>
  </si>
  <si>
    <t>Arthurtown</t>
  </si>
  <si>
    <t>Krista Blair</t>
  </si>
  <si>
    <t>846-599-8729x8027</t>
  </si>
  <si>
    <t>Davidberg</t>
  </si>
  <si>
    <t>Joshua Heath</t>
  </si>
  <si>
    <t>001-877-788-7044</t>
  </si>
  <si>
    <t>Lake Tanya</t>
  </si>
  <si>
    <t>Vanessa Duffy</t>
  </si>
  <si>
    <t>899-611-4948</t>
  </si>
  <si>
    <t>East Markton</t>
  </si>
  <si>
    <t>Jessica Lynch</t>
  </si>
  <si>
    <t>001-634-507-2463x2460</t>
  </si>
  <si>
    <t>West Paul</t>
  </si>
  <si>
    <t>Jason Miller</t>
  </si>
  <si>
    <t>203.848.8983x657</t>
  </si>
  <si>
    <t>Kellyview</t>
  </si>
  <si>
    <t>Ronald Smith</t>
  </si>
  <si>
    <t>001-996-285-3523x50729</t>
  </si>
  <si>
    <t>Colonmouth</t>
  </si>
  <si>
    <t>Trevor Owens</t>
  </si>
  <si>
    <t>(307)911-1576x01688</t>
  </si>
  <si>
    <t>Mccartychester</t>
  </si>
  <si>
    <t>David Nguyen</t>
  </si>
  <si>
    <t>001-574-452-8992x914</t>
  </si>
  <si>
    <t>South Julieside</t>
  </si>
  <si>
    <t>Pamela Harris</t>
  </si>
  <si>
    <t>001-723-882-7189x15560</t>
  </si>
  <si>
    <t>Port Cesar</t>
  </si>
  <si>
    <t>Anna Valencia</t>
  </si>
  <si>
    <t>(370)602-7941</t>
  </si>
  <si>
    <t>West Lisastad</t>
  </si>
  <si>
    <t>Cynthia Smith</t>
  </si>
  <si>
    <t>001-624-926-4052</t>
  </si>
  <si>
    <t>Bondshire</t>
  </si>
  <si>
    <t>Dr. Sylvia Montoya</t>
  </si>
  <si>
    <t>Sarahport</t>
  </si>
  <si>
    <t>Sharon Williams</t>
  </si>
  <si>
    <t>West Kathrynmouth</t>
  </si>
  <si>
    <t>Adrian Bowen</t>
  </si>
  <si>
    <t>001-487-395-0892</t>
  </si>
  <si>
    <t>West Troystad</t>
  </si>
  <si>
    <t>222.267.2777</t>
  </si>
  <si>
    <t>New Kathleenhaven</t>
  </si>
  <si>
    <t>Walter Ford</t>
  </si>
  <si>
    <t>(422)216-5749x7136</t>
  </si>
  <si>
    <t>East Mark</t>
  </si>
  <si>
    <t>Christopher Harris</t>
  </si>
  <si>
    <t>001-465-588-7709x0077</t>
  </si>
  <si>
    <t>Ethanberg</t>
  </si>
  <si>
    <t>Christopher Maldonado</t>
  </si>
  <si>
    <t>001-552-733-8916x7997</t>
  </si>
  <si>
    <t>Lake Kathrynview</t>
  </si>
  <si>
    <t>Clifford Kirk</t>
  </si>
  <si>
    <t>(465)802-5813</t>
  </si>
  <si>
    <t>North Darrell</t>
  </si>
  <si>
    <t>Katherine Davenport</t>
  </si>
  <si>
    <t>(848)816-9947</t>
  </si>
  <si>
    <t>John Graham</t>
  </si>
  <si>
    <t>612.261.6899</t>
  </si>
  <si>
    <t>Mary Martin</t>
  </si>
  <si>
    <t>+1-222-795-8220x15185</t>
  </si>
  <si>
    <t>Duncanmouth</t>
  </si>
  <si>
    <t>Patricia Solomon</t>
  </si>
  <si>
    <t>264.455.2382</t>
  </si>
  <si>
    <t>Gonzalezfurt</t>
  </si>
  <si>
    <t>Anita Smith</t>
  </si>
  <si>
    <t>001-364-636-1527x311</t>
  </si>
  <si>
    <t>Craig Hicks</t>
  </si>
  <si>
    <t>457-531-8076x419</t>
  </si>
  <si>
    <t>Murphyton</t>
  </si>
  <si>
    <t>David Carr</t>
  </si>
  <si>
    <t>001-402-875-8091x9741</t>
  </si>
  <si>
    <t>Lake Kelly</t>
  </si>
  <si>
    <t>Ashley Harris</t>
  </si>
  <si>
    <t>545-250-7459x174</t>
  </si>
  <si>
    <t>New Jeannechester</t>
  </si>
  <si>
    <t>Brianna Rodriguez</t>
  </si>
  <si>
    <t>001-413-649-8360</t>
  </si>
  <si>
    <t>Clarkborough</t>
  </si>
  <si>
    <t>Todd Williams</t>
  </si>
  <si>
    <t>207-473-5679x97522</t>
  </si>
  <si>
    <t>South Kimberlystad</t>
  </si>
  <si>
    <t>Brian Smith</t>
  </si>
  <si>
    <t>469-589-0645</t>
  </si>
  <si>
    <t>South Kathyfurt</t>
  </si>
  <si>
    <t>Jessica Eaton</t>
  </si>
  <si>
    <t>Jasonshire</t>
  </si>
  <si>
    <t>Angela Greene</t>
  </si>
  <si>
    <t>507.730.9992</t>
  </si>
  <si>
    <t>East Robert</t>
  </si>
  <si>
    <t>Thomas Joseph</t>
  </si>
  <si>
    <t>+1-473-324-4367x5989</t>
  </si>
  <si>
    <t>Fredfort</t>
  </si>
  <si>
    <t>Ricardo Washington</t>
  </si>
  <si>
    <t>919-237-6817x976</t>
  </si>
  <si>
    <t>Jonathanbury</t>
  </si>
  <si>
    <t>Taylor Jones</t>
  </si>
  <si>
    <t>+1-282-966-6020x5657</t>
  </si>
  <si>
    <t>Port Angelabury</t>
  </si>
  <si>
    <t>Keith Clark</t>
  </si>
  <si>
    <t>(696)271-1647x4483</t>
  </si>
  <si>
    <t>Gibsonland</t>
  </si>
  <si>
    <t>Julie Gibson</t>
  </si>
  <si>
    <t>808.780.8885</t>
  </si>
  <si>
    <t>East Katieshire</t>
  </si>
  <si>
    <t>Troy Shah</t>
  </si>
  <si>
    <t>001-386-334-2572</t>
  </si>
  <si>
    <t>Michelleview</t>
  </si>
  <si>
    <t>Charles Wilson</t>
  </si>
  <si>
    <t>001-669-460-0973x88563</t>
  </si>
  <si>
    <t>Port Thomasberg</t>
  </si>
  <si>
    <t>Edward Hinton</t>
  </si>
  <si>
    <t>001-497-239-5886</t>
  </si>
  <si>
    <t>Mcgrathville</t>
  </si>
  <si>
    <t>Timothy Browning</t>
  </si>
  <si>
    <t>(997)602-2386x8432</t>
  </si>
  <si>
    <t>North Sydneyview</t>
  </si>
  <si>
    <t>Travis Davis</t>
  </si>
  <si>
    <t>+1-569-624-2425x765</t>
  </si>
  <si>
    <t>South Marco</t>
  </si>
  <si>
    <t>Connor Simmons</t>
  </si>
  <si>
    <t>(589)203-4540x6249</t>
  </si>
  <si>
    <t>Greeneberg</t>
  </si>
  <si>
    <t>Peter Ramirez</t>
  </si>
  <si>
    <t>001-301-602-2489x382</t>
  </si>
  <si>
    <t>Lake Justin</t>
  </si>
  <si>
    <t>Philip Nichols</t>
  </si>
  <si>
    <t>(200)461-4047x1656</t>
  </si>
  <si>
    <t>Michelleton</t>
  </si>
  <si>
    <t>Nicholas Davis</t>
  </si>
  <si>
    <t>629-366-3533</t>
  </si>
  <si>
    <t>Lake Jamesmouth</t>
  </si>
  <si>
    <t>Jennifer Soto</t>
  </si>
  <si>
    <t>503.606.4835x791</t>
  </si>
  <si>
    <t>Mercadoview</t>
  </si>
  <si>
    <t>Thomas Lewis</t>
  </si>
  <si>
    <t>(478)673-3530x306</t>
  </si>
  <si>
    <t>North Ryanfort</t>
  </si>
  <si>
    <t>Joseph Duncan</t>
  </si>
  <si>
    <t>860.497.6814</t>
  </si>
  <si>
    <t>383-912-8479x5458</t>
  </si>
  <si>
    <t>Elizabethstad</t>
  </si>
  <si>
    <t>Todd Rodriguez</t>
  </si>
  <si>
    <t>622-281-8416x766</t>
  </si>
  <si>
    <t>East Jessica</t>
  </si>
  <si>
    <t>Billy Schaefer</t>
  </si>
  <si>
    <t>568.642.8560x848</t>
  </si>
  <si>
    <t>South Danielleberg</t>
  </si>
  <si>
    <t>Richard Clark</t>
  </si>
  <si>
    <t>485-231-3628x169</t>
  </si>
  <si>
    <t>Chelsea Nelson</t>
  </si>
  <si>
    <t>(668)207-4855</t>
  </si>
  <si>
    <t>East Davidfurt</t>
  </si>
  <si>
    <t>Andrew Smith</t>
  </si>
  <si>
    <t>(854)637-3924x2234</t>
  </si>
  <si>
    <t>Andreaville</t>
  </si>
  <si>
    <t>William Bond</t>
  </si>
  <si>
    <t>Turnerstad</t>
  </si>
  <si>
    <t>Hailey Petersen PhD</t>
  </si>
  <si>
    <t>681-252-3125x072</t>
  </si>
  <si>
    <t>East Alexanderhaven</t>
  </si>
  <si>
    <t>Anthony Swanson</t>
  </si>
  <si>
    <t>001-243-736-9811x5118</t>
  </si>
  <si>
    <t>East Patrick</t>
  </si>
  <si>
    <t>Nicholas Archer</t>
  </si>
  <si>
    <t>412.471.4921x33704</t>
  </si>
  <si>
    <t>Sara Foster</t>
  </si>
  <si>
    <t>322-664-1271</t>
  </si>
  <si>
    <t>South Colleenborough</t>
  </si>
  <si>
    <t>Katelyn Nguyen</t>
  </si>
  <si>
    <t>307.522.7250</t>
  </si>
  <si>
    <t>Mcgeeland</t>
  </si>
  <si>
    <t>Ryan Berry</t>
  </si>
  <si>
    <t>(341)410-5978x22327</t>
  </si>
  <si>
    <t>East Chad</t>
  </si>
  <si>
    <t>Katrina Gibson</t>
  </si>
  <si>
    <t>875.738.0270x7569</t>
  </si>
  <si>
    <t>Woodardbury</t>
  </si>
  <si>
    <t>Jeremiah Smith</t>
  </si>
  <si>
    <t>720-562-0122</t>
  </si>
  <si>
    <t>West Cherylton</t>
  </si>
  <si>
    <t>Cody Taylor</t>
  </si>
  <si>
    <t>923.872.7709x77062</t>
  </si>
  <si>
    <t>Petersonshire</t>
  </si>
  <si>
    <t>Holly Cruz DVM</t>
  </si>
  <si>
    <t>+1-569-481-5458x146</t>
  </si>
  <si>
    <t>East Tracymouth</t>
  </si>
  <si>
    <t>Michele Smith</t>
  </si>
  <si>
    <t>001-885-597-6286x43202</t>
  </si>
  <si>
    <t>Michaelchester</t>
  </si>
  <si>
    <t>Sabrina Ward</t>
  </si>
  <si>
    <t>001-985-905-9136</t>
  </si>
  <si>
    <t>Stephenland</t>
  </si>
  <si>
    <t>Robin Clark</t>
  </si>
  <si>
    <t>+1-621-584-2444x71130</t>
  </si>
  <si>
    <t>Jacob Joyce</t>
  </si>
  <si>
    <t>272-971-2696x871</t>
  </si>
  <si>
    <t>South Jorgefurt</t>
  </si>
  <si>
    <t>Carrie Weaver</t>
  </si>
  <si>
    <t>466-938-4751x869</t>
  </si>
  <si>
    <t>West Brandonton</t>
  </si>
  <si>
    <t>Logan Erickson</t>
  </si>
  <si>
    <t>Wheelerside</t>
  </si>
  <si>
    <t>Anne Holmes</t>
  </si>
  <si>
    <t>910-318-1528x855</t>
  </si>
  <si>
    <t>Reedport</t>
  </si>
  <si>
    <t>Daniel White</t>
  </si>
  <si>
    <t>755.324.9729</t>
  </si>
  <si>
    <t>East Christopher</t>
  </si>
  <si>
    <t>Steven Torres</t>
  </si>
  <si>
    <t>392.503.0873x21279</t>
  </si>
  <si>
    <t>New Amyfurt</t>
  </si>
  <si>
    <t>Brittany Smith</t>
  </si>
  <si>
    <t>(738)992-1386x94831</t>
  </si>
  <si>
    <t>West Amyshire</t>
  </si>
  <si>
    <t>Katie Wallace</t>
  </si>
  <si>
    <t>638-730-3815</t>
  </si>
  <si>
    <t>Robertomouth</t>
  </si>
  <si>
    <t>Tommy Vasquez</t>
  </si>
  <si>
    <t>Lake Jeffreymouth</t>
  </si>
  <si>
    <t>Michelle Nguyen DDS</t>
  </si>
  <si>
    <t>Kimberlyborough</t>
  </si>
  <si>
    <t>Patricia Patel</t>
  </si>
  <si>
    <t>+1-208-255-8741x59156</t>
  </si>
  <si>
    <t>South Katelynmouth</t>
  </si>
  <si>
    <t>Stephen Griffin</t>
  </si>
  <si>
    <t>+1-392-961-7425x766</t>
  </si>
  <si>
    <t>Bushchester</t>
  </si>
  <si>
    <t>Jennifer Gibbs</t>
  </si>
  <si>
    <t>001-312-401-2270x9681</t>
  </si>
  <si>
    <t>New Christopher</t>
  </si>
  <si>
    <t>Kara Miles</t>
  </si>
  <si>
    <t>(776)214-9136x3201</t>
  </si>
  <si>
    <t>East Andreahaven</t>
  </si>
  <si>
    <t>Danielle Fields</t>
  </si>
  <si>
    <t>503.694.8591x0843</t>
  </si>
  <si>
    <t>Townsendchester</t>
  </si>
  <si>
    <t>Steven Jones</t>
  </si>
  <si>
    <t>001-622-206-4570x26517</t>
  </si>
  <si>
    <t>Jennifermouth</t>
  </si>
  <si>
    <t>Christine Wilkins</t>
  </si>
  <si>
    <t>001-384-655-9648x366</t>
  </si>
  <si>
    <t>Matthew Allen</t>
  </si>
  <si>
    <t>(865)201-6596x4428</t>
  </si>
  <si>
    <t>Port Kylechester</t>
  </si>
  <si>
    <t>Duane Manning</t>
  </si>
  <si>
    <t>(206)756-4540x594</t>
  </si>
  <si>
    <t>Port Deborahview</t>
  </si>
  <si>
    <t>Keith Ramsey</t>
  </si>
  <si>
    <t>(771)346-2792x466</t>
  </si>
  <si>
    <t>Horneside</t>
  </si>
  <si>
    <t>Emma Nichols</t>
  </si>
  <si>
    <t>South Steven</t>
  </si>
  <si>
    <t>Angela Moss</t>
  </si>
  <si>
    <t>001-330-708-6923</t>
  </si>
  <si>
    <t>Chavezchester</t>
  </si>
  <si>
    <t>Jessica Phillips</t>
  </si>
  <si>
    <t>566.348.3449x44905</t>
  </si>
  <si>
    <t>Edwardshire</t>
  </si>
  <si>
    <t>Jared Vang</t>
  </si>
  <si>
    <t>(638)410-4771x660</t>
  </si>
  <si>
    <t>New Samuel</t>
  </si>
  <si>
    <t>Claudia Sims</t>
  </si>
  <si>
    <t>477.204.3327</t>
  </si>
  <si>
    <t>Greerview</t>
  </si>
  <si>
    <t>Brian Miller</t>
  </si>
  <si>
    <t>+1-599-998-8235x90438</t>
  </si>
  <si>
    <t>Hortonmouth</t>
  </si>
  <si>
    <t>Christy Crawford</t>
  </si>
  <si>
    <t>615.788.4852</t>
  </si>
  <si>
    <t>North Larryhaven</t>
  </si>
  <si>
    <t>Christopher Downs</t>
  </si>
  <si>
    <t>734-619-7405</t>
  </si>
  <si>
    <t>Lake Thomasmouth</t>
  </si>
  <si>
    <t>Kathleen Pennington</t>
  </si>
  <si>
    <t>(450)796-3297x08800</t>
  </si>
  <si>
    <t>Reedstad</t>
  </si>
  <si>
    <t>Johnny Mendez</t>
  </si>
  <si>
    <t>001-883-594-6424x193</t>
  </si>
  <si>
    <t>Jamesview</t>
  </si>
  <si>
    <t>John Jensen</t>
  </si>
  <si>
    <t>Joshua Mccormick</t>
  </si>
  <si>
    <t>001-463-312-5472</t>
  </si>
  <si>
    <t>West Brian</t>
  </si>
  <si>
    <t>Tyler Johnson</t>
  </si>
  <si>
    <t>554-636-0997x65889</t>
  </si>
  <si>
    <t>East Connie</t>
  </si>
  <si>
    <t>Mr. Charles Singh DDS</t>
  </si>
  <si>
    <t>662-451-5819x6212</t>
  </si>
  <si>
    <t>Donaldville</t>
  </si>
  <si>
    <t>Christopher Hawkins</t>
  </si>
  <si>
    <t>352-580-2709x239</t>
  </si>
  <si>
    <t>South Kevin</t>
  </si>
  <si>
    <t>Joel Roberts</t>
  </si>
  <si>
    <t>838-592-0643x10244</t>
  </si>
  <si>
    <t>Wongmouth</t>
  </si>
  <si>
    <t>Bethany Hart</t>
  </si>
  <si>
    <t>391.568.4293x40134</t>
  </si>
  <si>
    <t>East Andrewchester</t>
  </si>
  <si>
    <t>Jason Brown</t>
  </si>
  <si>
    <t>(598)222-0993</t>
  </si>
  <si>
    <t>Guerrastad</t>
  </si>
  <si>
    <t>Douglas Terrell</t>
  </si>
  <si>
    <t>Lake Destinyview</t>
  </si>
  <si>
    <t>Emily Tyler</t>
  </si>
  <si>
    <t>(644)473-5394</t>
  </si>
  <si>
    <t>Rushport</t>
  </si>
  <si>
    <t>Gary Padilla</t>
  </si>
  <si>
    <t>900.901.7127x3296</t>
  </si>
  <si>
    <t>New Ashley</t>
  </si>
  <si>
    <t>John Curtis</t>
  </si>
  <si>
    <t>+1-987-890-4347x285</t>
  </si>
  <si>
    <t>Garciaton</t>
  </si>
  <si>
    <t>Laura Miles</t>
  </si>
  <si>
    <t>001-912-273-8222x0506</t>
  </si>
  <si>
    <t>Port Mckenzie</t>
  </si>
  <si>
    <t>Kerry Davis</t>
  </si>
  <si>
    <t>(506)424-0484x29766</t>
  </si>
  <si>
    <t>West Elizabeth</t>
  </si>
  <si>
    <t>Jessica Harris</t>
  </si>
  <si>
    <t>(946)718-9230x73067</t>
  </si>
  <si>
    <t>North Anthony</t>
  </si>
  <si>
    <t>Amanda Lopez</t>
  </si>
  <si>
    <t>Kristaport</t>
  </si>
  <si>
    <t>Dustin Jensen</t>
  </si>
  <si>
    <t>+1-448-682-9222x00342</t>
  </si>
  <si>
    <t>Martinezmouth</t>
  </si>
  <si>
    <t>+1-949-510-0649x4465</t>
  </si>
  <si>
    <t>Crystalshire</t>
  </si>
  <si>
    <t>Kendra Clark</t>
  </si>
  <si>
    <t>894.844.5574</t>
  </si>
  <si>
    <t>Anthonymouth</t>
  </si>
  <si>
    <t>Grant Martin</t>
  </si>
  <si>
    <t>South Christopherborough</t>
  </si>
  <si>
    <t>Ms. Jennifer Delacruz</t>
  </si>
  <si>
    <t>001-503-691-5235x10278</t>
  </si>
  <si>
    <t>Lopeztown</t>
  </si>
  <si>
    <t>Billy Patel</t>
  </si>
  <si>
    <t>285.777.1983x987</t>
  </si>
  <si>
    <t>Bakerfurt</t>
  </si>
  <si>
    <t>Paula Peterson</t>
  </si>
  <si>
    <t>855.481.8813</t>
  </si>
  <si>
    <t>Stephensonside</t>
  </si>
  <si>
    <t>Vickie Glenn</t>
  </si>
  <si>
    <t>(944)685-2673</t>
  </si>
  <si>
    <t>Deannaland</t>
  </si>
  <si>
    <t>Christopher Ford</t>
  </si>
  <si>
    <t>228-960-4783x0631</t>
  </si>
  <si>
    <t>Morganchester</t>
  </si>
  <si>
    <t>Rebecca Mitchell</t>
  </si>
  <si>
    <t>(564)312-1848x8618</t>
  </si>
  <si>
    <t>Liutown</t>
  </si>
  <si>
    <t>supplier_name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</si>
</sst>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FF241-69CA-4C1E-A621-B0658FF7F201}">
  <dimension ref="A1:C1001"/>
  <sheetViews>
    <sheetView tabSelected="1" workbookViewId="0">
      <selection activeCell="D2" sqref="D2"/>
    </sheetView>
  </sheetViews>
  <sheetFormatPr defaultRowHeight="14.5" x14ac:dyDescent="0.35"/>
  <sheetData>
    <row r="1" spans="1:3" x14ac:dyDescent="0.35">
      <c r="A1" t="s">
        <v>2837</v>
      </c>
      <c r="B1" t="s">
        <v>0</v>
      </c>
      <c r="C1" t="s">
        <v>1</v>
      </c>
    </row>
    <row r="2" spans="1:3" x14ac:dyDescent="0.35">
      <c r="A2" t="s">
        <v>2</v>
      </c>
      <c r="B2" t="s">
        <v>3</v>
      </c>
      <c r="C2" t="s">
        <v>4</v>
      </c>
    </row>
    <row r="3" spans="1:3" x14ac:dyDescent="0.35">
      <c r="A3" t="s">
        <v>5</v>
      </c>
      <c r="B3" t="s">
        <v>6</v>
      </c>
      <c r="C3" t="s">
        <v>7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11</v>
      </c>
      <c r="B5" t="s">
        <v>12</v>
      </c>
      <c r="C5" t="s">
        <v>13</v>
      </c>
    </row>
    <row r="6" spans="1:3" x14ac:dyDescent="0.35">
      <c r="A6" t="s">
        <v>14</v>
      </c>
      <c r="B6" t="s">
        <v>15</v>
      </c>
      <c r="C6" t="s">
        <v>16</v>
      </c>
    </row>
    <row r="7" spans="1:3" x14ac:dyDescent="0.35">
      <c r="A7" t="s">
        <v>17</v>
      </c>
      <c r="B7">
        <v>4377667920</v>
      </c>
      <c r="C7" t="s">
        <v>18</v>
      </c>
    </row>
    <row r="8" spans="1:3" x14ac:dyDescent="0.35">
      <c r="A8" t="s">
        <v>19</v>
      </c>
      <c r="B8" t="s">
        <v>20</v>
      </c>
      <c r="C8" t="s">
        <v>21</v>
      </c>
    </row>
    <row r="9" spans="1:3" x14ac:dyDescent="0.35">
      <c r="A9" t="s">
        <v>22</v>
      </c>
      <c r="B9" t="s">
        <v>23</v>
      </c>
      <c r="C9" t="s">
        <v>24</v>
      </c>
    </row>
    <row r="10" spans="1:3" x14ac:dyDescent="0.35">
      <c r="A10" t="s">
        <v>25</v>
      </c>
      <c r="B10" t="s">
        <v>26</v>
      </c>
      <c r="C10" t="s">
        <v>27</v>
      </c>
    </row>
    <row r="11" spans="1:3" x14ac:dyDescent="0.35">
      <c r="A11" t="s">
        <v>28</v>
      </c>
      <c r="B11" t="s">
        <v>29</v>
      </c>
      <c r="C11" t="s">
        <v>30</v>
      </c>
    </row>
    <row r="12" spans="1:3" x14ac:dyDescent="0.35">
      <c r="A12" t="s">
        <v>31</v>
      </c>
      <c r="B12" t="s">
        <v>32</v>
      </c>
      <c r="C12" t="s">
        <v>33</v>
      </c>
    </row>
    <row r="13" spans="1:3" x14ac:dyDescent="0.35">
      <c r="A13" t="s">
        <v>34</v>
      </c>
      <c r="B13" t="s">
        <v>35</v>
      </c>
      <c r="C13" t="s">
        <v>36</v>
      </c>
    </row>
    <row r="14" spans="1:3" x14ac:dyDescent="0.35">
      <c r="A14" t="s">
        <v>37</v>
      </c>
      <c r="B14" t="s">
        <v>38</v>
      </c>
      <c r="C14" t="s">
        <v>39</v>
      </c>
    </row>
    <row r="15" spans="1:3" x14ac:dyDescent="0.35">
      <c r="A15" t="s">
        <v>40</v>
      </c>
      <c r="B15" t="s">
        <v>41</v>
      </c>
      <c r="C15" t="s">
        <v>42</v>
      </c>
    </row>
    <row r="16" spans="1:3" x14ac:dyDescent="0.35">
      <c r="A16" t="s">
        <v>43</v>
      </c>
      <c r="B16" t="s">
        <v>44</v>
      </c>
      <c r="C16" t="s">
        <v>45</v>
      </c>
    </row>
    <row r="17" spans="1:3" x14ac:dyDescent="0.35">
      <c r="A17" t="s">
        <v>46</v>
      </c>
      <c r="B17" t="s">
        <v>47</v>
      </c>
      <c r="C17" t="s">
        <v>48</v>
      </c>
    </row>
    <row r="18" spans="1:3" x14ac:dyDescent="0.35">
      <c r="A18" t="s">
        <v>49</v>
      </c>
      <c r="B18">
        <f>1-590-592-7309</f>
        <v>-8490</v>
      </c>
      <c r="C18" t="s">
        <v>50</v>
      </c>
    </row>
    <row r="19" spans="1:3" x14ac:dyDescent="0.35">
      <c r="A19" t="s">
        <v>51</v>
      </c>
      <c r="B19" t="s">
        <v>52</v>
      </c>
      <c r="C19" t="s">
        <v>53</v>
      </c>
    </row>
    <row r="20" spans="1:3" x14ac:dyDescent="0.35">
      <c r="A20" t="s">
        <v>54</v>
      </c>
      <c r="B20" t="s">
        <v>55</v>
      </c>
      <c r="C20" t="s">
        <v>56</v>
      </c>
    </row>
    <row r="21" spans="1:3" x14ac:dyDescent="0.35">
      <c r="A21" t="s">
        <v>57</v>
      </c>
      <c r="B21" t="s">
        <v>58</v>
      </c>
      <c r="C21" t="s">
        <v>59</v>
      </c>
    </row>
    <row r="22" spans="1:3" x14ac:dyDescent="0.35">
      <c r="A22" t="s">
        <v>60</v>
      </c>
      <c r="B22" t="s">
        <v>61</v>
      </c>
      <c r="C22" t="s">
        <v>62</v>
      </c>
    </row>
    <row r="23" spans="1:3" x14ac:dyDescent="0.35">
      <c r="A23" t="s">
        <v>63</v>
      </c>
      <c r="B23">
        <f>1-892-281-2165</f>
        <v>-3337</v>
      </c>
      <c r="C23" t="s">
        <v>64</v>
      </c>
    </row>
    <row r="24" spans="1:3" x14ac:dyDescent="0.35">
      <c r="A24" t="s">
        <v>65</v>
      </c>
      <c r="B24" t="s">
        <v>66</v>
      </c>
      <c r="C24" t="s">
        <v>67</v>
      </c>
    </row>
    <row r="25" spans="1:3" x14ac:dyDescent="0.35">
      <c r="A25" t="s">
        <v>68</v>
      </c>
      <c r="B25">
        <f>1-525-759-4320</f>
        <v>-5603</v>
      </c>
      <c r="C25" t="s">
        <v>69</v>
      </c>
    </row>
    <row r="26" spans="1:3" x14ac:dyDescent="0.35">
      <c r="A26" t="s">
        <v>70</v>
      </c>
      <c r="B26">
        <v>7823065884</v>
      </c>
      <c r="C26" t="s">
        <v>71</v>
      </c>
    </row>
    <row r="27" spans="1:3" x14ac:dyDescent="0.35">
      <c r="A27" t="s">
        <v>72</v>
      </c>
      <c r="B27" t="s">
        <v>73</v>
      </c>
      <c r="C27" t="s">
        <v>74</v>
      </c>
    </row>
    <row r="28" spans="1:3" x14ac:dyDescent="0.35">
      <c r="A28" t="s">
        <v>75</v>
      </c>
      <c r="B28" t="s">
        <v>76</v>
      </c>
      <c r="C28" t="s">
        <v>77</v>
      </c>
    </row>
    <row r="29" spans="1:3" x14ac:dyDescent="0.35">
      <c r="A29" t="s">
        <v>78</v>
      </c>
      <c r="B29" t="s">
        <v>79</v>
      </c>
      <c r="C29" t="s">
        <v>80</v>
      </c>
    </row>
    <row r="30" spans="1:3" x14ac:dyDescent="0.35">
      <c r="A30" t="s">
        <v>81</v>
      </c>
      <c r="B30" t="s">
        <v>82</v>
      </c>
      <c r="C30" t="s">
        <v>83</v>
      </c>
    </row>
    <row r="31" spans="1:3" x14ac:dyDescent="0.35">
      <c r="A31" t="s">
        <v>84</v>
      </c>
      <c r="B31" t="s">
        <v>85</v>
      </c>
      <c r="C31" t="s">
        <v>86</v>
      </c>
    </row>
    <row r="32" spans="1:3" x14ac:dyDescent="0.35">
      <c r="A32" t="s">
        <v>87</v>
      </c>
      <c r="B32" t="s">
        <v>88</v>
      </c>
      <c r="C32" t="s">
        <v>89</v>
      </c>
    </row>
    <row r="33" spans="1:3" x14ac:dyDescent="0.35">
      <c r="A33" t="s">
        <v>90</v>
      </c>
      <c r="B33" t="s">
        <v>91</v>
      </c>
      <c r="C33" t="s">
        <v>92</v>
      </c>
    </row>
    <row r="34" spans="1:3" x14ac:dyDescent="0.35">
      <c r="A34" t="s">
        <v>93</v>
      </c>
      <c r="B34" t="s">
        <v>94</v>
      </c>
      <c r="C34" t="s">
        <v>95</v>
      </c>
    </row>
    <row r="35" spans="1:3" x14ac:dyDescent="0.35">
      <c r="A35" t="s">
        <v>96</v>
      </c>
      <c r="B35" t="s">
        <v>97</v>
      </c>
      <c r="C35" t="s">
        <v>98</v>
      </c>
    </row>
    <row r="36" spans="1:3" x14ac:dyDescent="0.35">
      <c r="A36" t="s">
        <v>99</v>
      </c>
      <c r="B36" t="s">
        <v>100</v>
      </c>
      <c r="C36" t="s">
        <v>101</v>
      </c>
    </row>
    <row r="37" spans="1:3" x14ac:dyDescent="0.35">
      <c r="A37" t="s">
        <v>102</v>
      </c>
      <c r="B37" t="s">
        <v>103</v>
      </c>
      <c r="C37" t="s">
        <v>104</v>
      </c>
    </row>
    <row r="38" spans="1:3" x14ac:dyDescent="0.35">
      <c r="A38" t="s">
        <v>105</v>
      </c>
      <c r="B38" t="s">
        <v>106</v>
      </c>
      <c r="C38" t="s">
        <v>107</v>
      </c>
    </row>
    <row r="39" spans="1:3" x14ac:dyDescent="0.35">
      <c r="A39" t="s">
        <v>108</v>
      </c>
      <c r="B39" t="s">
        <v>109</v>
      </c>
      <c r="C39" t="s">
        <v>110</v>
      </c>
    </row>
    <row r="40" spans="1:3" x14ac:dyDescent="0.35">
      <c r="A40" t="s">
        <v>111</v>
      </c>
      <c r="B40" t="s">
        <v>112</v>
      </c>
      <c r="C40" t="s">
        <v>113</v>
      </c>
    </row>
    <row r="41" spans="1:3" x14ac:dyDescent="0.35">
      <c r="A41" t="s">
        <v>114</v>
      </c>
      <c r="B41" t="s">
        <v>115</v>
      </c>
      <c r="C41" t="s">
        <v>116</v>
      </c>
    </row>
    <row r="42" spans="1:3" x14ac:dyDescent="0.35">
      <c r="A42" t="s">
        <v>117</v>
      </c>
      <c r="B42" t="s">
        <v>118</v>
      </c>
      <c r="C42" t="s">
        <v>119</v>
      </c>
    </row>
    <row r="43" spans="1:3" x14ac:dyDescent="0.35">
      <c r="A43" t="s">
        <v>120</v>
      </c>
      <c r="B43" t="s">
        <v>121</v>
      </c>
      <c r="C43" t="s">
        <v>122</v>
      </c>
    </row>
    <row r="44" spans="1:3" x14ac:dyDescent="0.35">
      <c r="A44" t="s">
        <v>123</v>
      </c>
      <c r="B44" t="s">
        <v>124</v>
      </c>
      <c r="C44" t="s">
        <v>125</v>
      </c>
    </row>
    <row r="45" spans="1:3" x14ac:dyDescent="0.35">
      <c r="A45" t="s">
        <v>126</v>
      </c>
      <c r="B45" t="s">
        <v>127</v>
      </c>
      <c r="C45" t="s">
        <v>128</v>
      </c>
    </row>
    <row r="46" spans="1:3" x14ac:dyDescent="0.35">
      <c r="A46" t="s">
        <v>129</v>
      </c>
      <c r="B46">
        <f>1-755-253-1871</f>
        <v>-2878</v>
      </c>
      <c r="C46" t="s">
        <v>130</v>
      </c>
    </row>
    <row r="47" spans="1:3" x14ac:dyDescent="0.35">
      <c r="A47" t="s">
        <v>131</v>
      </c>
      <c r="B47" t="s">
        <v>132</v>
      </c>
      <c r="C47" t="s">
        <v>133</v>
      </c>
    </row>
    <row r="48" spans="1:3" x14ac:dyDescent="0.35">
      <c r="A48" t="s">
        <v>134</v>
      </c>
      <c r="B48" t="s">
        <v>135</v>
      </c>
      <c r="C48" t="s">
        <v>136</v>
      </c>
    </row>
    <row r="49" spans="1:3" x14ac:dyDescent="0.35">
      <c r="A49" t="s">
        <v>137</v>
      </c>
      <c r="B49">
        <v>9256195711</v>
      </c>
      <c r="C49" t="s">
        <v>138</v>
      </c>
    </row>
    <row r="50" spans="1:3" x14ac:dyDescent="0.35">
      <c r="A50" t="s">
        <v>139</v>
      </c>
      <c r="B50" t="s">
        <v>140</v>
      </c>
      <c r="C50" t="s">
        <v>141</v>
      </c>
    </row>
    <row r="51" spans="1:3" x14ac:dyDescent="0.35">
      <c r="A51" t="s">
        <v>142</v>
      </c>
      <c r="B51" t="s">
        <v>143</v>
      </c>
      <c r="C51" t="s">
        <v>144</v>
      </c>
    </row>
    <row r="52" spans="1:3" x14ac:dyDescent="0.35">
      <c r="A52" t="s">
        <v>145</v>
      </c>
      <c r="B52">
        <v>9606028632</v>
      </c>
      <c r="C52" t="s">
        <v>146</v>
      </c>
    </row>
    <row r="53" spans="1:3" x14ac:dyDescent="0.35">
      <c r="A53" t="s">
        <v>147</v>
      </c>
      <c r="B53" t="s">
        <v>148</v>
      </c>
      <c r="C53" t="s">
        <v>149</v>
      </c>
    </row>
    <row r="54" spans="1:3" x14ac:dyDescent="0.35">
      <c r="A54" t="s">
        <v>150</v>
      </c>
      <c r="B54" t="s">
        <v>151</v>
      </c>
      <c r="C54" t="s">
        <v>152</v>
      </c>
    </row>
    <row r="55" spans="1:3" x14ac:dyDescent="0.35">
      <c r="A55" t="s">
        <v>153</v>
      </c>
      <c r="B55" t="s">
        <v>154</v>
      </c>
      <c r="C55" t="s">
        <v>155</v>
      </c>
    </row>
    <row r="56" spans="1:3" x14ac:dyDescent="0.35">
      <c r="A56" t="s">
        <v>156</v>
      </c>
      <c r="B56" t="s">
        <v>157</v>
      </c>
      <c r="C56" t="s">
        <v>158</v>
      </c>
    </row>
    <row r="57" spans="1:3" x14ac:dyDescent="0.35">
      <c r="A57" t="s">
        <v>159</v>
      </c>
      <c r="B57" t="s">
        <v>160</v>
      </c>
      <c r="C57" t="s">
        <v>161</v>
      </c>
    </row>
    <row r="58" spans="1:3" x14ac:dyDescent="0.35">
      <c r="A58" t="s">
        <v>162</v>
      </c>
      <c r="B58" t="s">
        <v>163</v>
      </c>
      <c r="C58" t="s">
        <v>164</v>
      </c>
    </row>
    <row r="59" spans="1:3" x14ac:dyDescent="0.35">
      <c r="A59" t="s">
        <v>165</v>
      </c>
      <c r="B59" t="s">
        <v>166</v>
      </c>
      <c r="C59" t="s">
        <v>167</v>
      </c>
    </row>
    <row r="60" spans="1:3" x14ac:dyDescent="0.35">
      <c r="A60" t="s">
        <v>168</v>
      </c>
      <c r="B60" t="s">
        <v>169</v>
      </c>
      <c r="C60" t="s">
        <v>170</v>
      </c>
    </row>
    <row r="61" spans="1:3" x14ac:dyDescent="0.35">
      <c r="A61" t="s">
        <v>171</v>
      </c>
      <c r="B61" t="s">
        <v>172</v>
      </c>
      <c r="C61" t="s">
        <v>173</v>
      </c>
    </row>
    <row r="62" spans="1:3" x14ac:dyDescent="0.35">
      <c r="A62" t="s">
        <v>174</v>
      </c>
      <c r="B62" t="s">
        <v>175</v>
      </c>
      <c r="C62" t="s">
        <v>176</v>
      </c>
    </row>
    <row r="63" spans="1:3" x14ac:dyDescent="0.35">
      <c r="A63" t="s">
        <v>177</v>
      </c>
      <c r="B63" t="s">
        <v>178</v>
      </c>
      <c r="C63" t="s">
        <v>179</v>
      </c>
    </row>
    <row r="64" spans="1:3" x14ac:dyDescent="0.35">
      <c r="A64" t="s">
        <v>180</v>
      </c>
      <c r="B64" t="s">
        <v>181</v>
      </c>
      <c r="C64" t="s">
        <v>182</v>
      </c>
    </row>
    <row r="65" spans="1:3" x14ac:dyDescent="0.35">
      <c r="A65" t="s">
        <v>183</v>
      </c>
      <c r="B65" t="s">
        <v>184</v>
      </c>
      <c r="C65" t="s">
        <v>185</v>
      </c>
    </row>
    <row r="66" spans="1:3" x14ac:dyDescent="0.35">
      <c r="A66" t="s">
        <v>186</v>
      </c>
      <c r="B66" t="s">
        <v>187</v>
      </c>
      <c r="C66" t="s">
        <v>188</v>
      </c>
    </row>
    <row r="67" spans="1:3" x14ac:dyDescent="0.35">
      <c r="A67" t="s">
        <v>189</v>
      </c>
      <c r="B67" t="s">
        <v>190</v>
      </c>
      <c r="C67" t="s">
        <v>191</v>
      </c>
    </row>
    <row r="68" spans="1:3" x14ac:dyDescent="0.35">
      <c r="A68" t="s">
        <v>192</v>
      </c>
      <c r="B68" t="s">
        <v>193</v>
      </c>
      <c r="C68" t="s">
        <v>194</v>
      </c>
    </row>
    <row r="69" spans="1:3" x14ac:dyDescent="0.35">
      <c r="A69" t="s">
        <v>195</v>
      </c>
      <c r="B69" t="s">
        <v>196</v>
      </c>
      <c r="C69" t="s">
        <v>197</v>
      </c>
    </row>
    <row r="70" spans="1:3" x14ac:dyDescent="0.35">
      <c r="A70" t="s">
        <v>198</v>
      </c>
      <c r="B70" t="s">
        <v>199</v>
      </c>
      <c r="C70" t="s">
        <v>200</v>
      </c>
    </row>
    <row r="71" spans="1:3" x14ac:dyDescent="0.35">
      <c r="A71" t="s">
        <v>201</v>
      </c>
      <c r="B71" t="s">
        <v>202</v>
      </c>
      <c r="C71" t="s">
        <v>203</v>
      </c>
    </row>
    <row r="72" spans="1:3" x14ac:dyDescent="0.35">
      <c r="A72" t="s">
        <v>204</v>
      </c>
      <c r="B72" t="s">
        <v>205</v>
      </c>
      <c r="C72" t="s">
        <v>206</v>
      </c>
    </row>
    <row r="73" spans="1:3" x14ac:dyDescent="0.35">
      <c r="A73" t="s">
        <v>207</v>
      </c>
      <c r="B73">
        <v>3969351894</v>
      </c>
      <c r="C73" t="s">
        <v>208</v>
      </c>
    </row>
    <row r="74" spans="1:3" x14ac:dyDescent="0.35">
      <c r="A74" t="s">
        <v>209</v>
      </c>
      <c r="B74" t="s">
        <v>210</v>
      </c>
      <c r="C74" t="s">
        <v>211</v>
      </c>
    </row>
    <row r="75" spans="1:3" x14ac:dyDescent="0.35">
      <c r="A75" t="s">
        <v>212</v>
      </c>
      <c r="B75" t="s">
        <v>213</v>
      </c>
      <c r="C75" t="s">
        <v>214</v>
      </c>
    </row>
    <row r="76" spans="1:3" x14ac:dyDescent="0.35">
      <c r="A76" t="s">
        <v>215</v>
      </c>
      <c r="B76" t="s">
        <v>216</v>
      </c>
      <c r="C76" t="s">
        <v>217</v>
      </c>
    </row>
    <row r="77" spans="1:3" x14ac:dyDescent="0.35">
      <c r="A77" t="s">
        <v>218</v>
      </c>
      <c r="B77">
        <f>1-303-488-5319</f>
        <v>-6109</v>
      </c>
      <c r="C77" t="s">
        <v>219</v>
      </c>
    </row>
    <row r="78" spans="1:3" x14ac:dyDescent="0.35">
      <c r="A78" t="s">
        <v>220</v>
      </c>
      <c r="B78" t="s">
        <v>221</v>
      </c>
      <c r="C78" t="s">
        <v>222</v>
      </c>
    </row>
    <row r="79" spans="1:3" x14ac:dyDescent="0.35">
      <c r="A79" t="s">
        <v>223</v>
      </c>
      <c r="B79">
        <f>1-573-987-5557</f>
        <v>-7116</v>
      </c>
      <c r="C79" t="s">
        <v>224</v>
      </c>
    </row>
    <row r="80" spans="1:3" x14ac:dyDescent="0.35">
      <c r="A80" t="s">
        <v>225</v>
      </c>
      <c r="B80" t="s">
        <v>226</v>
      </c>
      <c r="C80" t="s">
        <v>227</v>
      </c>
    </row>
    <row r="81" spans="1:3" x14ac:dyDescent="0.35">
      <c r="A81" t="s">
        <v>228</v>
      </c>
      <c r="B81" t="s">
        <v>229</v>
      </c>
      <c r="C81" t="s">
        <v>230</v>
      </c>
    </row>
    <row r="82" spans="1:3" x14ac:dyDescent="0.35">
      <c r="A82" t="s">
        <v>231</v>
      </c>
      <c r="B82" t="s">
        <v>232</v>
      </c>
      <c r="C82" t="s">
        <v>233</v>
      </c>
    </row>
    <row r="83" spans="1:3" x14ac:dyDescent="0.35">
      <c r="A83" t="s">
        <v>234</v>
      </c>
      <c r="B83">
        <v>8293283833</v>
      </c>
      <c r="C83" t="s">
        <v>235</v>
      </c>
    </row>
    <row r="84" spans="1:3" x14ac:dyDescent="0.35">
      <c r="A84" t="s">
        <v>236</v>
      </c>
      <c r="B84" t="s">
        <v>237</v>
      </c>
      <c r="C84" t="s">
        <v>238</v>
      </c>
    </row>
    <row r="85" spans="1:3" x14ac:dyDescent="0.35">
      <c r="A85" t="s">
        <v>239</v>
      </c>
      <c r="B85" t="s">
        <v>240</v>
      </c>
      <c r="C85" t="s">
        <v>241</v>
      </c>
    </row>
    <row r="86" spans="1:3" x14ac:dyDescent="0.35">
      <c r="A86" t="s">
        <v>242</v>
      </c>
      <c r="B86" t="s">
        <v>243</v>
      </c>
      <c r="C86" t="s">
        <v>244</v>
      </c>
    </row>
    <row r="87" spans="1:3" x14ac:dyDescent="0.35">
      <c r="A87" t="s">
        <v>245</v>
      </c>
      <c r="B87" t="s">
        <v>246</v>
      </c>
      <c r="C87" t="s">
        <v>247</v>
      </c>
    </row>
    <row r="88" spans="1:3" x14ac:dyDescent="0.35">
      <c r="A88" t="s">
        <v>248</v>
      </c>
      <c r="B88" t="s">
        <v>249</v>
      </c>
      <c r="C88" t="s">
        <v>250</v>
      </c>
    </row>
    <row r="89" spans="1:3" x14ac:dyDescent="0.35">
      <c r="A89" t="s">
        <v>251</v>
      </c>
      <c r="B89" t="s">
        <v>252</v>
      </c>
      <c r="C89" t="s">
        <v>253</v>
      </c>
    </row>
    <row r="90" spans="1:3" x14ac:dyDescent="0.35">
      <c r="A90" t="s">
        <v>254</v>
      </c>
      <c r="B90" t="s">
        <v>255</v>
      </c>
      <c r="C90" t="s">
        <v>256</v>
      </c>
    </row>
    <row r="91" spans="1:3" x14ac:dyDescent="0.35">
      <c r="A91" t="s">
        <v>257</v>
      </c>
      <c r="B91">
        <f>1-645-641-6591</f>
        <v>-7876</v>
      </c>
      <c r="C91" t="s">
        <v>258</v>
      </c>
    </row>
    <row r="92" spans="1:3" x14ac:dyDescent="0.35">
      <c r="A92" t="s">
        <v>259</v>
      </c>
      <c r="B92" t="s">
        <v>260</v>
      </c>
      <c r="C92" t="s">
        <v>261</v>
      </c>
    </row>
    <row r="93" spans="1:3" x14ac:dyDescent="0.35">
      <c r="A93" t="s">
        <v>262</v>
      </c>
      <c r="B93" t="s">
        <v>263</v>
      </c>
      <c r="C93" t="s">
        <v>264</v>
      </c>
    </row>
    <row r="94" spans="1:3" x14ac:dyDescent="0.35">
      <c r="A94" t="s">
        <v>265</v>
      </c>
      <c r="B94" t="s">
        <v>266</v>
      </c>
      <c r="C94" t="s">
        <v>267</v>
      </c>
    </row>
    <row r="95" spans="1:3" x14ac:dyDescent="0.35">
      <c r="A95" t="s">
        <v>268</v>
      </c>
      <c r="B95" t="s">
        <v>269</v>
      </c>
      <c r="C95" t="s">
        <v>270</v>
      </c>
    </row>
    <row r="96" spans="1:3" x14ac:dyDescent="0.35">
      <c r="A96" t="s">
        <v>271</v>
      </c>
      <c r="B96" t="s">
        <v>272</v>
      </c>
      <c r="C96" t="s">
        <v>273</v>
      </c>
    </row>
    <row r="97" spans="1:3" x14ac:dyDescent="0.35">
      <c r="A97" t="s">
        <v>274</v>
      </c>
      <c r="B97" t="s">
        <v>275</v>
      </c>
      <c r="C97" t="s">
        <v>276</v>
      </c>
    </row>
    <row r="98" spans="1:3" x14ac:dyDescent="0.35">
      <c r="A98" t="s">
        <v>277</v>
      </c>
      <c r="B98" t="s">
        <v>278</v>
      </c>
      <c r="C98" t="s">
        <v>279</v>
      </c>
    </row>
    <row r="99" spans="1:3" x14ac:dyDescent="0.35">
      <c r="A99" t="s">
        <v>280</v>
      </c>
      <c r="B99" t="s">
        <v>281</v>
      </c>
      <c r="C99" t="s">
        <v>282</v>
      </c>
    </row>
    <row r="100" spans="1:3" x14ac:dyDescent="0.35">
      <c r="A100" t="s">
        <v>283</v>
      </c>
      <c r="B100" t="s">
        <v>284</v>
      </c>
      <c r="C100" t="s">
        <v>285</v>
      </c>
    </row>
    <row r="101" spans="1:3" x14ac:dyDescent="0.35">
      <c r="A101" t="s">
        <v>286</v>
      </c>
      <c r="B101" t="s">
        <v>287</v>
      </c>
      <c r="C101" t="s">
        <v>288</v>
      </c>
    </row>
    <row r="102" spans="1:3" x14ac:dyDescent="0.35">
      <c r="A102" t="s">
        <v>289</v>
      </c>
      <c r="B102">
        <f>1-872-541-4909</f>
        <v>-6321</v>
      </c>
      <c r="C102" t="s">
        <v>290</v>
      </c>
    </row>
    <row r="103" spans="1:3" x14ac:dyDescent="0.35">
      <c r="A103" t="s">
        <v>291</v>
      </c>
      <c r="B103">
        <v>2912815305</v>
      </c>
      <c r="C103" t="s">
        <v>292</v>
      </c>
    </row>
    <row r="104" spans="1:3" x14ac:dyDescent="0.35">
      <c r="A104" t="s">
        <v>293</v>
      </c>
      <c r="B104" t="s">
        <v>294</v>
      </c>
      <c r="C104" t="s">
        <v>295</v>
      </c>
    </row>
    <row r="105" spans="1:3" x14ac:dyDescent="0.35">
      <c r="A105" t="s">
        <v>296</v>
      </c>
      <c r="B105" t="s">
        <v>297</v>
      </c>
      <c r="C105" t="s">
        <v>298</v>
      </c>
    </row>
    <row r="106" spans="1:3" x14ac:dyDescent="0.35">
      <c r="A106" t="s">
        <v>299</v>
      </c>
      <c r="B106">
        <v>9096350431</v>
      </c>
      <c r="C106" t="s">
        <v>300</v>
      </c>
    </row>
    <row r="107" spans="1:3" x14ac:dyDescent="0.35">
      <c r="A107" t="s">
        <v>301</v>
      </c>
      <c r="B107" t="s">
        <v>302</v>
      </c>
      <c r="C107" t="s">
        <v>303</v>
      </c>
    </row>
    <row r="108" spans="1:3" x14ac:dyDescent="0.35">
      <c r="A108" t="s">
        <v>304</v>
      </c>
      <c r="B108" t="s">
        <v>305</v>
      </c>
      <c r="C108" t="s">
        <v>306</v>
      </c>
    </row>
    <row r="109" spans="1:3" x14ac:dyDescent="0.35">
      <c r="A109" t="s">
        <v>307</v>
      </c>
      <c r="B109" t="s">
        <v>308</v>
      </c>
      <c r="C109" t="s">
        <v>309</v>
      </c>
    </row>
    <row r="110" spans="1:3" x14ac:dyDescent="0.35">
      <c r="A110" t="s">
        <v>310</v>
      </c>
      <c r="B110" t="s">
        <v>311</v>
      </c>
      <c r="C110" t="s">
        <v>312</v>
      </c>
    </row>
    <row r="111" spans="1:3" x14ac:dyDescent="0.35">
      <c r="A111" t="s">
        <v>313</v>
      </c>
      <c r="B111" t="s">
        <v>314</v>
      </c>
      <c r="C111" t="s">
        <v>315</v>
      </c>
    </row>
    <row r="112" spans="1:3" x14ac:dyDescent="0.35">
      <c r="A112" t="s">
        <v>316</v>
      </c>
      <c r="B112" t="s">
        <v>317</v>
      </c>
      <c r="C112" t="s">
        <v>318</v>
      </c>
    </row>
    <row r="113" spans="1:3" x14ac:dyDescent="0.35">
      <c r="A113" t="s">
        <v>319</v>
      </c>
      <c r="B113" t="s">
        <v>320</v>
      </c>
      <c r="C113" t="s">
        <v>321</v>
      </c>
    </row>
    <row r="114" spans="1:3" x14ac:dyDescent="0.35">
      <c r="A114" t="s">
        <v>322</v>
      </c>
      <c r="B114" t="s">
        <v>323</v>
      </c>
      <c r="C114" t="s">
        <v>324</v>
      </c>
    </row>
    <row r="115" spans="1:3" x14ac:dyDescent="0.35">
      <c r="A115" t="s">
        <v>325</v>
      </c>
      <c r="B115" t="s">
        <v>326</v>
      </c>
      <c r="C115" t="s">
        <v>327</v>
      </c>
    </row>
    <row r="116" spans="1:3" x14ac:dyDescent="0.35">
      <c r="A116" t="s">
        <v>328</v>
      </c>
      <c r="B116" t="s">
        <v>329</v>
      </c>
      <c r="C116" t="s">
        <v>330</v>
      </c>
    </row>
    <row r="117" spans="1:3" x14ac:dyDescent="0.35">
      <c r="A117" t="s">
        <v>331</v>
      </c>
      <c r="B117" t="s">
        <v>332</v>
      </c>
      <c r="C117" t="s">
        <v>333</v>
      </c>
    </row>
    <row r="118" spans="1:3" x14ac:dyDescent="0.35">
      <c r="A118" t="s">
        <v>334</v>
      </c>
      <c r="B118" t="s">
        <v>335</v>
      </c>
      <c r="C118" t="s">
        <v>336</v>
      </c>
    </row>
    <row r="119" spans="1:3" x14ac:dyDescent="0.35">
      <c r="A119" t="s">
        <v>337</v>
      </c>
      <c r="B119" t="s">
        <v>338</v>
      </c>
      <c r="C119" t="s">
        <v>339</v>
      </c>
    </row>
    <row r="120" spans="1:3" x14ac:dyDescent="0.35">
      <c r="A120" t="s">
        <v>340</v>
      </c>
      <c r="B120" t="s">
        <v>341</v>
      </c>
      <c r="C120" t="s">
        <v>342</v>
      </c>
    </row>
    <row r="121" spans="1:3" x14ac:dyDescent="0.35">
      <c r="A121" t="s">
        <v>343</v>
      </c>
      <c r="B121" t="s">
        <v>344</v>
      </c>
      <c r="C121" t="s">
        <v>345</v>
      </c>
    </row>
    <row r="122" spans="1:3" x14ac:dyDescent="0.35">
      <c r="A122" t="s">
        <v>346</v>
      </c>
      <c r="B122" t="s">
        <v>347</v>
      </c>
      <c r="C122" t="s">
        <v>348</v>
      </c>
    </row>
    <row r="123" spans="1:3" x14ac:dyDescent="0.35">
      <c r="A123" t="s">
        <v>349</v>
      </c>
      <c r="B123" t="s">
        <v>350</v>
      </c>
      <c r="C123" t="s">
        <v>351</v>
      </c>
    </row>
    <row r="124" spans="1:3" x14ac:dyDescent="0.35">
      <c r="A124" t="s">
        <v>352</v>
      </c>
      <c r="B124" t="s">
        <v>353</v>
      </c>
      <c r="C124" t="s">
        <v>354</v>
      </c>
    </row>
    <row r="125" spans="1:3" x14ac:dyDescent="0.35">
      <c r="A125" t="s">
        <v>355</v>
      </c>
      <c r="B125" t="s">
        <v>356</v>
      </c>
      <c r="C125" t="s">
        <v>357</v>
      </c>
    </row>
    <row r="126" spans="1:3" x14ac:dyDescent="0.35">
      <c r="A126" t="s">
        <v>358</v>
      </c>
      <c r="B126" t="s">
        <v>359</v>
      </c>
      <c r="C126" t="s">
        <v>360</v>
      </c>
    </row>
    <row r="127" spans="1:3" x14ac:dyDescent="0.35">
      <c r="A127" t="s">
        <v>361</v>
      </c>
      <c r="B127" t="s">
        <v>362</v>
      </c>
      <c r="C127" t="s">
        <v>363</v>
      </c>
    </row>
    <row r="128" spans="1:3" x14ac:dyDescent="0.35">
      <c r="A128" t="s">
        <v>364</v>
      </c>
      <c r="B128" t="s">
        <v>365</v>
      </c>
      <c r="C128" t="s">
        <v>366</v>
      </c>
    </row>
    <row r="129" spans="1:3" x14ac:dyDescent="0.35">
      <c r="A129" t="s">
        <v>367</v>
      </c>
      <c r="B129">
        <f>1-717-893-1070</f>
        <v>-2679</v>
      </c>
      <c r="C129" t="s">
        <v>368</v>
      </c>
    </row>
    <row r="130" spans="1:3" x14ac:dyDescent="0.35">
      <c r="A130" t="s">
        <v>369</v>
      </c>
      <c r="B130">
        <v>3252611330</v>
      </c>
      <c r="C130" t="s">
        <v>370</v>
      </c>
    </row>
    <row r="131" spans="1:3" x14ac:dyDescent="0.35">
      <c r="A131" t="s">
        <v>371</v>
      </c>
      <c r="B131" t="s">
        <v>372</v>
      </c>
      <c r="C131" t="s">
        <v>373</v>
      </c>
    </row>
    <row r="132" spans="1:3" x14ac:dyDescent="0.35">
      <c r="A132" t="s">
        <v>374</v>
      </c>
      <c r="B132" t="s">
        <v>375</v>
      </c>
      <c r="C132" t="s">
        <v>376</v>
      </c>
    </row>
    <row r="133" spans="1:3" x14ac:dyDescent="0.35">
      <c r="A133" t="s">
        <v>377</v>
      </c>
      <c r="B133" t="s">
        <v>378</v>
      </c>
      <c r="C133" t="s">
        <v>379</v>
      </c>
    </row>
    <row r="134" spans="1:3" x14ac:dyDescent="0.35">
      <c r="A134" t="s">
        <v>380</v>
      </c>
      <c r="B134" t="s">
        <v>381</v>
      </c>
      <c r="C134" t="s">
        <v>382</v>
      </c>
    </row>
    <row r="135" spans="1:3" x14ac:dyDescent="0.35">
      <c r="A135" t="s">
        <v>383</v>
      </c>
      <c r="B135">
        <v>7632587094</v>
      </c>
      <c r="C135" t="s">
        <v>384</v>
      </c>
    </row>
    <row r="136" spans="1:3" x14ac:dyDescent="0.35">
      <c r="A136" t="s">
        <v>385</v>
      </c>
      <c r="B136" t="s">
        <v>386</v>
      </c>
      <c r="C136" t="s">
        <v>387</v>
      </c>
    </row>
    <row r="137" spans="1:3" x14ac:dyDescent="0.35">
      <c r="A137" t="s">
        <v>388</v>
      </c>
      <c r="B137" t="s">
        <v>389</v>
      </c>
      <c r="C137" t="s">
        <v>390</v>
      </c>
    </row>
    <row r="138" spans="1:3" x14ac:dyDescent="0.35">
      <c r="A138" t="s">
        <v>391</v>
      </c>
      <c r="B138" t="s">
        <v>392</v>
      </c>
      <c r="C138" t="s">
        <v>393</v>
      </c>
    </row>
    <row r="139" spans="1:3" x14ac:dyDescent="0.35">
      <c r="A139" t="s">
        <v>394</v>
      </c>
      <c r="B139" t="s">
        <v>395</v>
      </c>
      <c r="C139" t="s">
        <v>396</v>
      </c>
    </row>
    <row r="140" spans="1:3" x14ac:dyDescent="0.35">
      <c r="A140" t="s">
        <v>397</v>
      </c>
      <c r="B140" t="s">
        <v>398</v>
      </c>
      <c r="C140" t="s">
        <v>399</v>
      </c>
    </row>
    <row r="141" spans="1:3" x14ac:dyDescent="0.35">
      <c r="A141" t="s">
        <v>400</v>
      </c>
      <c r="B141" t="s">
        <v>401</v>
      </c>
      <c r="C141" t="s">
        <v>402</v>
      </c>
    </row>
    <row r="142" spans="1:3" x14ac:dyDescent="0.35">
      <c r="A142" t="s">
        <v>403</v>
      </c>
      <c r="B142">
        <f>1-939-211-656</f>
        <v>-1805</v>
      </c>
      <c r="C142" t="s">
        <v>404</v>
      </c>
    </row>
    <row r="143" spans="1:3" x14ac:dyDescent="0.35">
      <c r="A143" t="s">
        <v>405</v>
      </c>
      <c r="B143" t="s">
        <v>406</v>
      </c>
      <c r="C143" t="s">
        <v>407</v>
      </c>
    </row>
    <row r="144" spans="1:3" x14ac:dyDescent="0.35">
      <c r="A144" t="s">
        <v>408</v>
      </c>
      <c r="B144" t="s">
        <v>409</v>
      </c>
      <c r="C144" t="s">
        <v>410</v>
      </c>
    </row>
    <row r="145" spans="1:3" x14ac:dyDescent="0.35">
      <c r="A145" t="s">
        <v>411</v>
      </c>
      <c r="B145" t="s">
        <v>412</v>
      </c>
      <c r="C145" t="s">
        <v>413</v>
      </c>
    </row>
    <row r="146" spans="1:3" x14ac:dyDescent="0.35">
      <c r="A146" t="s">
        <v>414</v>
      </c>
      <c r="B146" t="s">
        <v>415</v>
      </c>
      <c r="C146" t="s">
        <v>416</v>
      </c>
    </row>
    <row r="147" spans="1:3" x14ac:dyDescent="0.35">
      <c r="A147" t="s">
        <v>417</v>
      </c>
      <c r="B147" t="s">
        <v>418</v>
      </c>
      <c r="C147" t="s">
        <v>419</v>
      </c>
    </row>
    <row r="148" spans="1:3" x14ac:dyDescent="0.35">
      <c r="A148" t="s">
        <v>420</v>
      </c>
      <c r="B148" t="s">
        <v>421</v>
      </c>
      <c r="C148" t="s">
        <v>422</v>
      </c>
    </row>
    <row r="149" spans="1:3" x14ac:dyDescent="0.35">
      <c r="A149" t="s">
        <v>423</v>
      </c>
      <c r="B149" t="s">
        <v>424</v>
      </c>
      <c r="C149" t="s">
        <v>425</v>
      </c>
    </row>
    <row r="150" spans="1:3" x14ac:dyDescent="0.35">
      <c r="A150" t="s">
        <v>426</v>
      </c>
      <c r="B150">
        <v>3969635826</v>
      </c>
      <c r="C150" t="s">
        <v>427</v>
      </c>
    </row>
    <row r="151" spans="1:3" x14ac:dyDescent="0.35">
      <c r="A151" t="s">
        <v>428</v>
      </c>
      <c r="B151" t="s">
        <v>429</v>
      </c>
      <c r="C151" t="s">
        <v>430</v>
      </c>
    </row>
    <row r="152" spans="1:3" x14ac:dyDescent="0.35">
      <c r="A152" t="s">
        <v>431</v>
      </c>
      <c r="B152" t="s">
        <v>432</v>
      </c>
      <c r="C152" t="s">
        <v>433</v>
      </c>
    </row>
    <row r="153" spans="1:3" x14ac:dyDescent="0.35">
      <c r="A153" t="s">
        <v>434</v>
      </c>
      <c r="B153" t="s">
        <v>435</v>
      </c>
      <c r="C153" t="s">
        <v>436</v>
      </c>
    </row>
    <row r="154" spans="1:3" x14ac:dyDescent="0.35">
      <c r="A154" t="s">
        <v>437</v>
      </c>
      <c r="B154">
        <v>5327971369</v>
      </c>
      <c r="C154" t="s">
        <v>438</v>
      </c>
    </row>
    <row r="155" spans="1:3" x14ac:dyDescent="0.35">
      <c r="A155" t="s">
        <v>439</v>
      </c>
      <c r="B155" t="s">
        <v>440</v>
      </c>
      <c r="C155" t="s">
        <v>441</v>
      </c>
    </row>
    <row r="156" spans="1:3" x14ac:dyDescent="0.35">
      <c r="A156" t="s">
        <v>442</v>
      </c>
      <c r="B156" t="s">
        <v>443</v>
      </c>
      <c r="C156" t="s">
        <v>444</v>
      </c>
    </row>
    <row r="157" spans="1:3" x14ac:dyDescent="0.35">
      <c r="A157" t="s">
        <v>445</v>
      </c>
      <c r="B157" t="s">
        <v>446</v>
      </c>
      <c r="C157" t="s">
        <v>447</v>
      </c>
    </row>
    <row r="158" spans="1:3" x14ac:dyDescent="0.35">
      <c r="A158" t="s">
        <v>448</v>
      </c>
      <c r="B158" t="s">
        <v>449</v>
      </c>
      <c r="C158" t="s">
        <v>450</v>
      </c>
    </row>
    <row r="159" spans="1:3" x14ac:dyDescent="0.35">
      <c r="A159" t="s">
        <v>451</v>
      </c>
      <c r="B159" t="s">
        <v>452</v>
      </c>
      <c r="C159" t="s">
        <v>453</v>
      </c>
    </row>
    <row r="160" spans="1:3" x14ac:dyDescent="0.35">
      <c r="A160" t="s">
        <v>454</v>
      </c>
      <c r="B160" t="s">
        <v>455</v>
      </c>
      <c r="C160" t="s">
        <v>456</v>
      </c>
    </row>
    <row r="161" spans="1:3" x14ac:dyDescent="0.35">
      <c r="A161" t="s">
        <v>457</v>
      </c>
      <c r="B161" t="s">
        <v>458</v>
      </c>
      <c r="C161" t="s">
        <v>459</v>
      </c>
    </row>
    <row r="162" spans="1:3" x14ac:dyDescent="0.35">
      <c r="A162" t="s">
        <v>460</v>
      </c>
      <c r="B162" t="s">
        <v>461</v>
      </c>
      <c r="C162" t="s">
        <v>462</v>
      </c>
    </row>
    <row r="163" spans="1:3" x14ac:dyDescent="0.35">
      <c r="A163" t="s">
        <v>463</v>
      </c>
      <c r="B163" t="s">
        <v>464</v>
      </c>
      <c r="C163" t="s">
        <v>465</v>
      </c>
    </row>
    <row r="164" spans="1:3" x14ac:dyDescent="0.35">
      <c r="A164" t="s">
        <v>466</v>
      </c>
      <c r="B164" t="s">
        <v>467</v>
      </c>
      <c r="C164" t="s">
        <v>468</v>
      </c>
    </row>
    <row r="165" spans="1:3" x14ac:dyDescent="0.35">
      <c r="A165" t="s">
        <v>469</v>
      </c>
      <c r="B165" t="s">
        <v>470</v>
      </c>
      <c r="C165" t="s">
        <v>471</v>
      </c>
    </row>
    <row r="166" spans="1:3" x14ac:dyDescent="0.35">
      <c r="A166" t="s">
        <v>472</v>
      </c>
      <c r="B166" t="s">
        <v>473</v>
      </c>
      <c r="C166" t="s">
        <v>474</v>
      </c>
    </row>
    <row r="167" spans="1:3" x14ac:dyDescent="0.35">
      <c r="A167" t="s">
        <v>475</v>
      </c>
      <c r="B167" t="s">
        <v>476</v>
      </c>
      <c r="C167" t="s">
        <v>477</v>
      </c>
    </row>
    <row r="168" spans="1:3" x14ac:dyDescent="0.35">
      <c r="A168" t="s">
        <v>478</v>
      </c>
      <c r="B168" t="s">
        <v>479</v>
      </c>
      <c r="C168" t="s">
        <v>480</v>
      </c>
    </row>
    <row r="169" spans="1:3" x14ac:dyDescent="0.35">
      <c r="A169" t="s">
        <v>481</v>
      </c>
      <c r="B169" t="s">
        <v>482</v>
      </c>
      <c r="C169" t="s">
        <v>483</v>
      </c>
    </row>
    <row r="170" spans="1:3" x14ac:dyDescent="0.35">
      <c r="A170" t="s">
        <v>484</v>
      </c>
      <c r="B170" t="s">
        <v>485</v>
      </c>
      <c r="C170" t="s">
        <v>486</v>
      </c>
    </row>
    <row r="171" spans="1:3" x14ac:dyDescent="0.35">
      <c r="A171" t="s">
        <v>487</v>
      </c>
      <c r="B171" t="s">
        <v>488</v>
      </c>
      <c r="C171" t="s">
        <v>489</v>
      </c>
    </row>
    <row r="172" spans="1:3" x14ac:dyDescent="0.35">
      <c r="A172" t="s">
        <v>490</v>
      </c>
      <c r="B172" t="s">
        <v>491</v>
      </c>
      <c r="C172" t="s">
        <v>492</v>
      </c>
    </row>
    <row r="173" spans="1:3" x14ac:dyDescent="0.35">
      <c r="A173" t="s">
        <v>493</v>
      </c>
      <c r="B173">
        <v>7609854835</v>
      </c>
      <c r="C173" t="s">
        <v>494</v>
      </c>
    </row>
    <row r="174" spans="1:3" x14ac:dyDescent="0.35">
      <c r="A174" t="s">
        <v>495</v>
      </c>
      <c r="B174" t="s">
        <v>496</v>
      </c>
      <c r="C174" t="s">
        <v>497</v>
      </c>
    </row>
    <row r="175" spans="1:3" x14ac:dyDescent="0.35">
      <c r="A175" t="s">
        <v>498</v>
      </c>
      <c r="B175" t="s">
        <v>499</v>
      </c>
      <c r="C175" t="s">
        <v>500</v>
      </c>
    </row>
    <row r="176" spans="1:3" x14ac:dyDescent="0.35">
      <c r="A176" t="s">
        <v>501</v>
      </c>
      <c r="B176" t="s">
        <v>502</v>
      </c>
      <c r="C176" t="s">
        <v>503</v>
      </c>
    </row>
    <row r="177" spans="1:3" x14ac:dyDescent="0.35">
      <c r="A177" t="s">
        <v>504</v>
      </c>
      <c r="B177" t="s">
        <v>505</v>
      </c>
      <c r="C177" t="s">
        <v>506</v>
      </c>
    </row>
    <row r="178" spans="1:3" x14ac:dyDescent="0.35">
      <c r="A178" t="s">
        <v>507</v>
      </c>
      <c r="B178" t="s">
        <v>508</v>
      </c>
      <c r="C178" t="s">
        <v>509</v>
      </c>
    </row>
    <row r="179" spans="1:3" x14ac:dyDescent="0.35">
      <c r="A179" t="s">
        <v>510</v>
      </c>
      <c r="B179" t="s">
        <v>511</v>
      </c>
      <c r="C179" t="s">
        <v>512</v>
      </c>
    </row>
    <row r="180" spans="1:3" x14ac:dyDescent="0.35">
      <c r="A180" t="s">
        <v>513</v>
      </c>
      <c r="B180">
        <f>1-883-405-5675</f>
        <v>-6962</v>
      </c>
      <c r="C180" t="s">
        <v>267</v>
      </c>
    </row>
    <row r="181" spans="1:3" x14ac:dyDescent="0.35">
      <c r="A181" t="s">
        <v>514</v>
      </c>
      <c r="B181" t="s">
        <v>515</v>
      </c>
      <c r="C181" t="s">
        <v>516</v>
      </c>
    </row>
    <row r="182" spans="1:3" x14ac:dyDescent="0.35">
      <c r="A182" t="s">
        <v>517</v>
      </c>
      <c r="B182" t="s">
        <v>518</v>
      </c>
      <c r="C182" t="s">
        <v>519</v>
      </c>
    </row>
    <row r="183" spans="1:3" x14ac:dyDescent="0.35">
      <c r="A183" t="s">
        <v>520</v>
      </c>
      <c r="B183" t="s">
        <v>521</v>
      </c>
      <c r="C183" t="s">
        <v>522</v>
      </c>
    </row>
    <row r="184" spans="1:3" x14ac:dyDescent="0.35">
      <c r="A184" t="s">
        <v>523</v>
      </c>
      <c r="B184" t="s">
        <v>524</v>
      </c>
      <c r="C184" t="s">
        <v>525</v>
      </c>
    </row>
    <row r="185" spans="1:3" x14ac:dyDescent="0.35">
      <c r="A185" t="s">
        <v>526</v>
      </c>
      <c r="B185" t="s">
        <v>527</v>
      </c>
      <c r="C185" t="s">
        <v>528</v>
      </c>
    </row>
    <row r="186" spans="1:3" x14ac:dyDescent="0.35">
      <c r="A186" t="s">
        <v>529</v>
      </c>
      <c r="B186" t="s">
        <v>530</v>
      </c>
      <c r="C186" t="s">
        <v>531</v>
      </c>
    </row>
    <row r="187" spans="1:3" x14ac:dyDescent="0.35">
      <c r="A187" t="s">
        <v>532</v>
      </c>
      <c r="B187" t="s">
        <v>533</v>
      </c>
      <c r="C187" t="s">
        <v>534</v>
      </c>
    </row>
    <row r="188" spans="1:3" x14ac:dyDescent="0.35">
      <c r="A188" t="s">
        <v>535</v>
      </c>
      <c r="B188" t="s">
        <v>536</v>
      </c>
      <c r="C188" t="s">
        <v>537</v>
      </c>
    </row>
    <row r="189" spans="1:3" x14ac:dyDescent="0.35">
      <c r="A189" t="s">
        <v>538</v>
      </c>
      <c r="B189" t="s">
        <v>539</v>
      </c>
      <c r="C189" t="s">
        <v>540</v>
      </c>
    </row>
    <row r="190" spans="1:3" x14ac:dyDescent="0.35">
      <c r="A190" t="s">
        <v>541</v>
      </c>
      <c r="B190" t="s">
        <v>542</v>
      </c>
      <c r="C190" t="s">
        <v>543</v>
      </c>
    </row>
    <row r="191" spans="1:3" x14ac:dyDescent="0.35">
      <c r="A191" t="s">
        <v>544</v>
      </c>
      <c r="B191" t="s">
        <v>545</v>
      </c>
      <c r="C191" t="s">
        <v>546</v>
      </c>
    </row>
    <row r="192" spans="1:3" x14ac:dyDescent="0.35">
      <c r="A192" t="s">
        <v>547</v>
      </c>
      <c r="B192" t="s">
        <v>548</v>
      </c>
      <c r="C192" t="s">
        <v>549</v>
      </c>
    </row>
    <row r="193" spans="1:3" x14ac:dyDescent="0.35">
      <c r="A193" t="s">
        <v>550</v>
      </c>
      <c r="B193" t="s">
        <v>551</v>
      </c>
      <c r="C193" t="s">
        <v>552</v>
      </c>
    </row>
    <row r="194" spans="1:3" x14ac:dyDescent="0.35">
      <c r="A194" t="s">
        <v>553</v>
      </c>
      <c r="B194" t="s">
        <v>554</v>
      </c>
      <c r="C194" t="s">
        <v>555</v>
      </c>
    </row>
    <row r="195" spans="1:3" x14ac:dyDescent="0.35">
      <c r="A195" t="s">
        <v>556</v>
      </c>
      <c r="B195" t="s">
        <v>557</v>
      </c>
      <c r="C195" t="s">
        <v>558</v>
      </c>
    </row>
    <row r="196" spans="1:3" x14ac:dyDescent="0.35">
      <c r="A196" t="s">
        <v>559</v>
      </c>
      <c r="B196" t="s">
        <v>560</v>
      </c>
      <c r="C196" t="s">
        <v>561</v>
      </c>
    </row>
    <row r="197" spans="1:3" x14ac:dyDescent="0.35">
      <c r="A197" t="s">
        <v>562</v>
      </c>
      <c r="B197" t="s">
        <v>563</v>
      </c>
      <c r="C197" t="s">
        <v>564</v>
      </c>
    </row>
    <row r="198" spans="1:3" x14ac:dyDescent="0.35">
      <c r="A198" t="s">
        <v>565</v>
      </c>
      <c r="B198" t="s">
        <v>566</v>
      </c>
      <c r="C198" t="s">
        <v>567</v>
      </c>
    </row>
    <row r="199" spans="1:3" x14ac:dyDescent="0.35">
      <c r="A199" t="s">
        <v>568</v>
      </c>
      <c r="B199" t="s">
        <v>569</v>
      </c>
      <c r="C199" t="s">
        <v>570</v>
      </c>
    </row>
    <row r="200" spans="1:3" x14ac:dyDescent="0.35">
      <c r="A200" t="s">
        <v>571</v>
      </c>
      <c r="B200" t="s">
        <v>572</v>
      </c>
      <c r="C200" t="s">
        <v>573</v>
      </c>
    </row>
    <row r="201" spans="1:3" x14ac:dyDescent="0.35">
      <c r="A201" t="s">
        <v>574</v>
      </c>
      <c r="B201" t="s">
        <v>575</v>
      </c>
      <c r="C201" t="s">
        <v>576</v>
      </c>
    </row>
    <row r="202" spans="1:3" x14ac:dyDescent="0.35">
      <c r="A202" t="s">
        <v>577</v>
      </c>
      <c r="B202" t="s">
        <v>578</v>
      </c>
      <c r="C202" t="s">
        <v>579</v>
      </c>
    </row>
    <row r="203" spans="1:3" x14ac:dyDescent="0.35">
      <c r="A203" t="s">
        <v>580</v>
      </c>
      <c r="B203" t="s">
        <v>581</v>
      </c>
      <c r="C203" t="s">
        <v>582</v>
      </c>
    </row>
    <row r="204" spans="1:3" x14ac:dyDescent="0.35">
      <c r="A204" t="s">
        <v>583</v>
      </c>
      <c r="B204">
        <v>7103393019</v>
      </c>
      <c r="C204" t="s">
        <v>584</v>
      </c>
    </row>
    <row r="205" spans="1:3" x14ac:dyDescent="0.35">
      <c r="A205" t="s">
        <v>585</v>
      </c>
      <c r="B205" t="s">
        <v>586</v>
      </c>
      <c r="C205" t="s">
        <v>587</v>
      </c>
    </row>
    <row r="206" spans="1:3" x14ac:dyDescent="0.35">
      <c r="A206" t="s">
        <v>588</v>
      </c>
      <c r="B206">
        <v>6859695893</v>
      </c>
      <c r="C206" t="s">
        <v>589</v>
      </c>
    </row>
    <row r="207" spans="1:3" x14ac:dyDescent="0.35">
      <c r="A207" t="s">
        <v>590</v>
      </c>
      <c r="B207" t="s">
        <v>591</v>
      </c>
      <c r="C207" t="s">
        <v>592</v>
      </c>
    </row>
    <row r="208" spans="1:3" x14ac:dyDescent="0.35">
      <c r="A208" t="s">
        <v>593</v>
      </c>
      <c r="B208">
        <f>1-888-800-9413</f>
        <v>-11100</v>
      </c>
      <c r="C208" t="s">
        <v>594</v>
      </c>
    </row>
    <row r="209" spans="1:3" x14ac:dyDescent="0.35">
      <c r="A209" t="s">
        <v>595</v>
      </c>
      <c r="B209" t="s">
        <v>596</v>
      </c>
      <c r="C209" t="s">
        <v>597</v>
      </c>
    </row>
    <row r="210" spans="1:3" x14ac:dyDescent="0.35">
      <c r="A210" t="s">
        <v>598</v>
      </c>
      <c r="B210" t="s">
        <v>599</v>
      </c>
      <c r="C210" t="s">
        <v>600</v>
      </c>
    </row>
    <row r="211" spans="1:3" x14ac:dyDescent="0.35">
      <c r="A211" t="s">
        <v>601</v>
      </c>
      <c r="B211">
        <f>1-780-238-5374</f>
        <v>-6391</v>
      </c>
      <c r="C211" t="s">
        <v>602</v>
      </c>
    </row>
    <row r="212" spans="1:3" x14ac:dyDescent="0.35">
      <c r="A212" t="s">
        <v>603</v>
      </c>
      <c r="B212" t="s">
        <v>604</v>
      </c>
      <c r="C212" t="s">
        <v>605</v>
      </c>
    </row>
    <row r="213" spans="1:3" x14ac:dyDescent="0.35">
      <c r="A213" t="s">
        <v>606</v>
      </c>
      <c r="B213" t="s">
        <v>607</v>
      </c>
      <c r="C213" t="s">
        <v>608</v>
      </c>
    </row>
    <row r="214" spans="1:3" x14ac:dyDescent="0.35">
      <c r="A214" t="s">
        <v>609</v>
      </c>
      <c r="B214" t="s">
        <v>610</v>
      </c>
      <c r="C214" t="s">
        <v>611</v>
      </c>
    </row>
    <row r="215" spans="1:3" x14ac:dyDescent="0.35">
      <c r="A215" t="s">
        <v>612</v>
      </c>
      <c r="B215" t="s">
        <v>613</v>
      </c>
      <c r="C215" t="s">
        <v>614</v>
      </c>
    </row>
    <row r="216" spans="1:3" x14ac:dyDescent="0.35">
      <c r="A216" t="s">
        <v>615</v>
      </c>
      <c r="B216" t="s">
        <v>616</v>
      </c>
      <c r="C216" t="s">
        <v>617</v>
      </c>
    </row>
    <row r="217" spans="1:3" x14ac:dyDescent="0.35">
      <c r="A217" t="s">
        <v>618</v>
      </c>
      <c r="B217" t="s">
        <v>619</v>
      </c>
      <c r="C217" t="s">
        <v>620</v>
      </c>
    </row>
    <row r="218" spans="1:3" x14ac:dyDescent="0.35">
      <c r="A218" t="s">
        <v>621</v>
      </c>
      <c r="B218" t="s">
        <v>622</v>
      </c>
      <c r="C218" t="s">
        <v>623</v>
      </c>
    </row>
    <row r="219" spans="1:3" x14ac:dyDescent="0.35">
      <c r="A219" t="s">
        <v>624</v>
      </c>
      <c r="B219" t="s">
        <v>625</v>
      </c>
      <c r="C219" t="s">
        <v>626</v>
      </c>
    </row>
    <row r="220" spans="1:3" x14ac:dyDescent="0.35">
      <c r="A220" t="s">
        <v>627</v>
      </c>
      <c r="B220" t="s">
        <v>628</v>
      </c>
      <c r="C220" t="s">
        <v>629</v>
      </c>
    </row>
    <row r="221" spans="1:3" x14ac:dyDescent="0.35">
      <c r="A221" t="s">
        <v>630</v>
      </c>
      <c r="B221" t="s">
        <v>631</v>
      </c>
      <c r="C221" t="s">
        <v>632</v>
      </c>
    </row>
    <row r="222" spans="1:3" x14ac:dyDescent="0.35">
      <c r="A222" t="s">
        <v>633</v>
      </c>
      <c r="B222" t="s">
        <v>634</v>
      </c>
      <c r="C222" t="s">
        <v>635</v>
      </c>
    </row>
    <row r="223" spans="1:3" x14ac:dyDescent="0.35">
      <c r="A223" t="s">
        <v>636</v>
      </c>
      <c r="B223" t="s">
        <v>637</v>
      </c>
      <c r="C223" t="s">
        <v>638</v>
      </c>
    </row>
    <row r="224" spans="1:3" x14ac:dyDescent="0.35">
      <c r="A224" t="s">
        <v>639</v>
      </c>
      <c r="B224" t="s">
        <v>640</v>
      </c>
      <c r="C224" t="s">
        <v>641</v>
      </c>
    </row>
    <row r="225" spans="1:3" x14ac:dyDescent="0.35">
      <c r="A225" t="s">
        <v>642</v>
      </c>
      <c r="B225" t="s">
        <v>643</v>
      </c>
      <c r="C225" t="s">
        <v>644</v>
      </c>
    </row>
    <row r="226" spans="1:3" x14ac:dyDescent="0.35">
      <c r="A226" t="s">
        <v>645</v>
      </c>
      <c r="B226" t="s">
        <v>646</v>
      </c>
      <c r="C226" t="s">
        <v>647</v>
      </c>
    </row>
    <row r="227" spans="1:3" x14ac:dyDescent="0.35">
      <c r="A227" t="s">
        <v>648</v>
      </c>
      <c r="B227" t="s">
        <v>649</v>
      </c>
      <c r="C227" t="s">
        <v>650</v>
      </c>
    </row>
    <row r="228" spans="1:3" x14ac:dyDescent="0.35">
      <c r="A228" t="s">
        <v>651</v>
      </c>
      <c r="B228">
        <f>1-661-500-8671</f>
        <v>-9831</v>
      </c>
      <c r="C228" t="s">
        <v>652</v>
      </c>
    </row>
    <row r="229" spans="1:3" x14ac:dyDescent="0.35">
      <c r="A229" t="s">
        <v>653</v>
      </c>
      <c r="B229" t="s">
        <v>654</v>
      </c>
      <c r="C229" t="s">
        <v>655</v>
      </c>
    </row>
    <row r="230" spans="1:3" x14ac:dyDescent="0.35">
      <c r="A230" t="s">
        <v>656</v>
      </c>
      <c r="B230" t="s">
        <v>657</v>
      </c>
      <c r="C230" t="s">
        <v>658</v>
      </c>
    </row>
    <row r="231" spans="1:3" x14ac:dyDescent="0.35">
      <c r="A231" t="s">
        <v>659</v>
      </c>
      <c r="B231" t="s">
        <v>660</v>
      </c>
      <c r="C231" t="s">
        <v>661</v>
      </c>
    </row>
    <row r="232" spans="1:3" x14ac:dyDescent="0.35">
      <c r="A232" t="s">
        <v>662</v>
      </c>
      <c r="B232" t="s">
        <v>663</v>
      </c>
      <c r="C232" t="s">
        <v>664</v>
      </c>
    </row>
    <row r="233" spans="1:3" x14ac:dyDescent="0.35">
      <c r="A233" t="s">
        <v>665</v>
      </c>
      <c r="B233" t="s">
        <v>666</v>
      </c>
      <c r="C233" t="s">
        <v>667</v>
      </c>
    </row>
    <row r="234" spans="1:3" x14ac:dyDescent="0.35">
      <c r="A234" t="s">
        <v>668</v>
      </c>
      <c r="B234" t="s">
        <v>669</v>
      </c>
      <c r="C234" t="s">
        <v>670</v>
      </c>
    </row>
    <row r="235" spans="1:3" x14ac:dyDescent="0.35">
      <c r="A235" t="s">
        <v>671</v>
      </c>
      <c r="B235" t="s">
        <v>672</v>
      </c>
      <c r="C235" t="s">
        <v>673</v>
      </c>
    </row>
    <row r="236" spans="1:3" x14ac:dyDescent="0.35">
      <c r="A236" t="s">
        <v>674</v>
      </c>
      <c r="B236" t="s">
        <v>675</v>
      </c>
      <c r="C236" t="s">
        <v>676</v>
      </c>
    </row>
    <row r="237" spans="1:3" x14ac:dyDescent="0.35">
      <c r="A237" t="s">
        <v>677</v>
      </c>
      <c r="B237" t="s">
        <v>678</v>
      </c>
      <c r="C237" t="s">
        <v>679</v>
      </c>
    </row>
    <row r="238" spans="1:3" x14ac:dyDescent="0.35">
      <c r="A238" t="s">
        <v>680</v>
      </c>
      <c r="B238" t="s">
        <v>681</v>
      </c>
      <c r="C238" t="s">
        <v>682</v>
      </c>
    </row>
    <row r="239" spans="1:3" x14ac:dyDescent="0.35">
      <c r="A239" t="s">
        <v>683</v>
      </c>
      <c r="B239" t="s">
        <v>684</v>
      </c>
      <c r="C239" t="s">
        <v>685</v>
      </c>
    </row>
    <row r="240" spans="1:3" x14ac:dyDescent="0.35">
      <c r="A240" t="s">
        <v>686</v>
      </c>
      <c r="B240" t="s">
        <v>687</v>
      </c>
      <c r="C240" t="s">
        <v>688</v>
      </c>
    </row>
    <row r="241" spans="1:3" x14ac:dyDescent="0.35">
      <c r="A241" t="s">
        <v>689</v>
      </c>
      <c r="B241" t="s">
        <v>690</v>
      </c>
      <c r="C241" t="s">
        <v>691</v>
      </c>
    </row>
    <row r="242" spans="1:3" x14ac:dyDescent="0.35">
      <c r="A242" t="s">
        <v>692</v>
      </c>
      <c r="B242" t="s">
        <v>693</v>
      </c>
      <c r="C242" t="s">
        <v>694</v>
      </c>
    </row>
    <row r="243" spans="1:3" x14ac:dyDescent="0.35">
      <c r="A243" t="s">
        <v>695</v>
      </c>
      <c r="B243" t="s">
        <v>696</v>
      </c>
      <c r="C243" t="s">
        <v>697</v>
      </c>
    </row>
    <row r="244" spans="1:3" x14ac:dyDescent="0.35">
      <c r="A244" t="s">
        <v>698</v>
      </c>
      <c r="B244" t="s">
        <v>699</v>
      </c>
      <c r="C244" t="s">
        <v>700</v>
      </c>
    </row>
    <row r="245" spans="1:3" x14ac:dyDescent="0.35">
      <c r="A245" t="s">
        <v>701</v>
      </c>
      <c r="B245" t="s">
        <v>702</v>
      </c>
      <c r="C245" t="s">
        <v>703</v>
      </c>
    </row>
    <row r="246" spans="1:3" x14ac:dyDescent="0.35">
      <c r="A246" t="s">
        <v>704</v>
      </c>
      <c r="B246" t="s">
        <v>705</v>
      </c>
      <c r="C246" t="s">
        <v>706</v>
      </c>
    </row>
    <row r="247" spans="1:3" x14ac:dyDescent="0.35">
      <c r="A247" t="s">
        <v>707</v>
      </c>
      <c r="B247" t="s">
        <v>708</v>
      </c>
      <c r="C247" t="s">
        <v>709</v>
      </c>
    </row>
    <row r="248" spans="1:3" x14ac:dyDescent="0.35">
      <c r="A248" t="s">
        <v>710</v>
      </c>
      <c r="B248" t="s">
        <v>711</v>
      </c>
      <c r="C248" t="s">
        <v>712</v>
      </c>
    </row>
    <row r="249" spans="1:3" x14ac:dyDescent="0.35">
      <c r="A249" t="s">
        <v>713</v>
      </c>
      <c r="B249" t="s">
        <v>714</v>
      </c>
      <c r="C249" t="s">
        <v>715</v>
      </c>
    </row>
    <row r="250" spans="1:3" x14ac:dyDescent="0.35">
      <c r="A250" t="s">
        <v>716</v>
      </c>
      <c r="B250">
        <v>3555005693</v>
      </c>
      <c r="C250" t="s">
        <v>717</v>
      </c>
    </row>
    <row r="251" spans="1:3" x14ac:dyDescent="0.35">
      <c r="A251" t="s">
        <v>718</v>
      </c>
      <c r="B251" t="s">
        <v>719</v>
      </c>
      <c r="C251" t="s">
        <v>720</v>
      </c>
    </row>
    <row r="252" spans="1:3" x14ac:dyDescent="0.35">
      <c r="A252" t="s">
        <v>721</v>
      </c>
      <c r="B252" t="s">
        <v>722</v>
      </c>
      <c r="C252" t="s">
        <v>723</v>
      </c>
    </row>
    <row r="253" spans="1:3" x14ac:dyDescent="0.35">
      <c r="A253" t="s">
        <v>724</v>
      </c>
      <c r="B253" t="s">
        <v>725</v>
      </c>
      <c r="C253" t="s">
        <v>726</v>
      </c>
    </row>
    <row r="254" spans="1:3" x14ac:dyDescent="0.35">
      <c r="A254" t="s">
        <v>727</v>
      </c>
      <c r="B254" t="s">
        <v>728</v>
      </c>
      <c r="C254" t="s">
        <v>729</v>
      </c>
    </row>
    <row r="255" spans="1:3" x14ac:dyDescent="0.35">
      <c r="A255" t="s">
        <v>730</v>
      </c>
      <c r="B255" t="s">
        <v>731</v>
      </c>
      <c r="C255" t="s">
        <v>732</v>
      </c>
    </row>
    <row r="256" spans="1:3" x14ac:dyDescent="0.35">
      <c r="A256" t="s">
        <v>733</v>
      </c>
      <c r="B256" t="s">
        <v>734</v>
      </c>
      <c r="C256" t="s">
        <v>735</v>
      </c>
    </row>
    <row r="257" spans="1:3" x14ac:dyDescent="0.35">
      <c r="A257" t="s">
        <v>736</v>
      </c>
      <c r="B257" t="s">
        <v>737</v>
      </c>
      <c r="C257" t="s">
        <v>738</v>
      </c>
    </row>
    <row r="258" spans="1:3" x14ac:dyDescent="0.35">
      <c r="A258" t="s">
        <v>739</v>
      </c>
      <c r="B258" t="s">
        <v>740</v>
      </c>
      <c r="C258" t="s">
        <v>741</v>
      </c>
    </row>
    <row r="259" spans="1:3" x14ac:dyDescent="0.35">
      <c r="A259" t="s">
        <v>742</v>
      </c>
      <c r="B259" t="s">
        <v>743</v>
      </c>
      <c r="C259" t="s">
        <v>744</v>
      </c>
    </row>
    <row r="260" spans="1:3" x14ac:dyDescent="0.35">
      <c r="A260" t="s">
        <v>745</v>
      </c>
      <c r="B260" t="s">
        <v>746</v>
      </c>
      <c r="C260" t="s">
        <v>747</v>
      </c>
    </row>
    <row r="261" spans="1:3" x14ac:dyDescent="0.35">
      <c r="A261" t="s">
        <v>748</v>
      </c>
      <c r="B261" t="s">
        <v>749</v>
      </c>
      <c r="C261" t="s">
        <v>750</v>
      </c>
    </row>
    <row r="262" spans="1:3" x14ac:dyDescent="0.35">
      <c r="A262" t="s">
        <v>751</v>
      </c>
      <c r="B262" t="s">
        <v>752</v>
      </c>
      <c r="C262" t="s">
        <v>753</v>
      </c>
    </row>
    <row r="263" spans="1:3" x14ac:dyDescent="0.35">
      <c r="A263" t="s">
        <v>754</v>
      </c>
      <c r="B263" t="s">
        <v>755</v>
      </c>
      <c r="C263" t="s">
        <v>756</v>
      </c>
    </row>
    <row r="264" spans="1:3" x14ac:dyDescent="0.35">
      <c r="A264" t="s">
        <v>757</v>
      </c>
      <c r="B264">
        <v>5206390278</v>
      </c>
      <c r="C264" t="s">
        <v>758</v>
      </c>
    </row>
    <row r="265" spans="1:3" x14ac:dyDescent="0.35">
      <c r="A265" t="s">
        <v>759</v>
      </c>
      <c r="B265" t="s">
        <v>760</v>
      </c>
      <c r="C265" t="s">
        <v>761</v>
      </c>
    </row>
    <row r="266" spans="1:3" x14ac:dyDescent="0.35">
      <c r="A266" t="s">
        <v>762</v>
      </c>
      <c r="B266" t="s">
        <v>763</v>
      </c>
      <c r="C266" t="s">
        <v>764</v>
      </c>
    </row>
    <row r="267" spans="1:3" x14ac:dyDescent="0.35">
      <c r="A267" t="s">
        <v>765</v>
      </c>
      <c r="B267" t="s">
        <v>766</v>
      </c>
      <c r="C267" t="s">
        <v>767</v>
      </c>
    </row>
    <row r="268" spans="1:3" x14ac:dyDescent="0.35">
      <c r="A268" t="s">
        <v>768</v>
      </c>
      <c r="B268" t="s">
        <v>769</v>
      </c>
      <c r="C268" t="s">
        <v>770</v>
      </c>
    </row>
    <row r="269" spans="1:3" x14ac:dyDescent="0.35">
      <c r="A269" t="s">
        <v>771</v>
      </c>
      <c r="B269">
        <v>8208256159</v>
      </c>
      <c r="C269" t="s">
        <v>772</v>
      </c>
    </row>
    <row r="270" spans="1:3" x14ac:dyDescent="0.35">
      <c r="A270" t="s">
        <v>773</v>
      </c>
      <c r="B270" t="s">
        <v>774</v>
      </c>
      <c r="C270" t="s">
        <v>775</v>
      </c>
    </row>
    <row r="271" spans="1:3" x14ac:dyDescent="0.35">
      <c r="A271" t="s">
        <v>776</v>
      </c>
      <c r="B271" t="s">
        <v>777</v>
      </c>
      <c r="C271" t="s">
        <v>778</v>
      </c>
    </row>
    <row r="272" spans="1:3" x14ac:dyDescent="0.35">
      <c r="A272" t="s">
        <v>779</v>
      </c>
      <c r="B272" t="s">
        <v>780</v>
      </c>
      <c r="C272" t="s">
        <v>781</v>
      </c>
    </row>
    <row r="273" spans="1:3" x14ac:dyDescent="0.35">
      <c r="A273" t="s">
        <v>782</v>
      </c>
      <c r="B273" t="s">
        <v>783</v>
      </c>
      <c r="C273" t="s">
        <v>784</v>
      </c>
    </row>
    <row r="274" spans="1:3" x14ac:dyDescent="0.35">
      <c r="A274" t="s">
        <v>785</v>
      </c>
      <c r="B274" t="s">
        <v>786</v>
      </c>
      <c r="C274" t="s">
        <v>787</v>
      </c>
    </row>
    <row r="275" spans="1:3" x14ac:dyDescent="0.35">
      <c r="A275" t="s">
        <v>788</v>
      </c>
      <c r="B275" t="s">
        <v>789</v>
      </c>
      <c r="C275" t="s">
        <v>790</v>
      </c>
    </row>
    <row r="276" spans="1:3" x14ac:dyDescent="0.35">
      <c r="A276" t="s">
        <v>791</v>
      </c>
      <c r="B276" t="s">
        <v>792</v>
      </c>
      <c r="C276" t="s">
        <v>793</v>
      </c>
    </row>
    <row r="277" spans="1:3" x14ac:dyDescent="0.35">
      <c r="A277" t="s">
        <v>794</v>
      </c>
      <c r="B277" t="s">
        <v>795</v>
      </c>
      <c r="C277" t="s">
        <v>796</v>
      </c>
    </row>
    <row r="278" spans="1:3" x14ac:dyDescent="0.35">
      <c r="A278" t="s">
        <v>797</v>
      </c>
      <c r="B278" t="s">
        <v>798</v>
      </c>
      <c r="C278" t="s">
        <v>799</v>
      </c>
    </row>
    <row r="279" spans="1:3" x14ac:dyDescent="0.35">
      <c r="A279" t="s">
        <v>800</v>
      </c>
      <c r="B279" t="s">
        <v>801</v>
      </c>
      <c r="C279" t="s">
        <v>802</v>
      </c>
    </row>
    <row r="280" spans="1:3" x14ac:dyDescent="0.35">
      <c r="A280" t="s">
        <v>803</v>
      </c>
      <c r="B280">
        <f>1-703-557-716</f>
        <v>-1975</v>
      </c>
      <c r="C280" t="s">
        <v>804</v>
      </c>
    </row>
    <row r="281" spans="1:3" x14ac:dyDescent="0.35">
      <c r="A281" t="s">
        <v>805</v>
      </c>
      <c r="B281" t="s">
        <v>806</v>
      </c>
      <c r="C281" t="s">
        <v>807</v>
      </c>
    </row>
    <row r="282" spans="1:3" x14ac:dyDescent="0.35">
      <c r="A282" t="s">
        <v>808</v>
      </c>
      <c r="B282" t="s">
        <v>809</v>
      </c>
      <c r="C282" t="s">
        <v>810</v>
      </c>
    </row>
    <row r="283" spans="1:3" x14ac:dyDescent="0.35">
      <c r="A283" t="s">
        <v>811</v>
      </c>
      <c r="B283" t="s">
        <v>812</v>
      </c>
      <c r="C283" t="s">
        <v>813</v>
      </c>
    </row>
    <row r="284" spans="1:3" x14ac:dyDescent="0.35">
      <c r="A284" t="s">
        <v>814</v>
      </c>
      <c r="B284" t="s">
        <v>815</v>
      </c>
      <c r="C284" t="s">
        <v>816</v>
      </c>
    </row>
    <row r="285" spans="1:3" x14ac:dyDescent="0.35">
      <c r="A285" t="s">
        <v>817</v>
      </c>
      <c r="B285" t="s">
        <v>818</v>
      </c>
      <c r="C285" t="s">
        <v>819</v>
      </c>
    </row>
    <row r="286" spans="1:3" x14ac:dyDescent="0.35">
      <c r="A286" t="s">
        <v>820</v>
      </c>
      <c r="B286" t="s">
        <v>821</v>
      </c>
      <c r="C286" t="s">
        <v>822</v>
      </c>
    </row>
    <row r="287" spans="1:3" x14ac:dyDescent="0.35">
      <c r="A287" t="s">
        <v>823</v>
      </c>
      <c r="B287" t="s">
        <v>824</v>
      </c>
      <c r="C287" t="s">
        <v>303</v>
      </c>
    </row>
    <row r="288" spans="1:3" x14ac:dyDescent="0.35">
      <c r="A288" t="s">
        <v>825</v>
      </c>
      <c r="B288" t="s">
        <v>826</v>
      </c>
      <c r="C288" t="s">
        <v>827</v>
      </c>
    </row>
    <row r="289" spans="1:3" x14ac:dyDescent="0.35">
      <c r="A289" t="s">
        <v>828</v>
      </c>
      <c r="B289" t="s">
        <v>829</v>
      </c>
      <c r="C289" t="s">
        <v>267</v>
      </c>
    </row>
    <row r="290" spans="1:3" x14ac:dyDescent="0.35">
      <c r="A290" t="s">
        <v>830</v>
      </c>
      <c r="B290" t="s">
        <v>831</v>
      </c>
      <c r="C290" t="s">
        <v>832</v>
      </c>
    </row>
    <row r="291" spans="1:3" x14ac:dyDescent="0.35">
      <c r="A291" t="s">
        <v>833</v>
      </c>
      <c r="B291" t="s">
        <v>834</v>
      </c>
      <c r="C291" t="s">
        <v>835</v>
      </c>
    </row>
    <row r="292" spans="1:3" x14ac:dyDescent="0.35">
      <c r="A292" t="s">
        <v>836</v>
      </c>
      <c r="B292">
        <v>9302400043</v>
      </c>
      <c r="C292" t="s">
        <v>837</v>
      </c>
    </row>
    <row r="293" spans="1:3" x14ac:dyDescent="0.35">
      <c r="A293" t="s">
        <v>838</v>
      </c>
      <c r="B293">
        <v>7065008262</v>
      </c>
      <c r="C293" t="s">
        <v>839</v>
      </c>
    </row>
    <row r="294" spans="1:3" x14ac:dyDescent="0.35">
      <c r="A294" t="s">
        <v>840</v>
      </c>
      <c r="B294" t="s">
        <v>841</v>
      </c>
      <c r="C294" t="s">
        <v>842</v>
      </c>
    </row>
    <row r="295" spans="1:3" x14ac:dyDescent="0.35">
      <c r="A295" t="s">
        <v>843</v>
      </c>
      <c r="B295" t="s">
        <v>844</v>
      </c>
      <c r="C295" t="s">
        <v>845</v>
      </c>
    </row>
    <row r="296" spans="1:3" x14ac:dyDescent="0.35">
      <c r="A296" t="s">
        <v>846</v>
      </c>
      <c r="B296">
        <f>1-700-785-5480</f>
        <v>-6964</v>
      </c>
      <c r="C296" t="s">
        <v>847</v>
      </c>
    </row>
    <row r="297" spans="1:3" x14ac:dyDescent="0.35">
      <c r="A297" t="s">
        <v>848</v>
      </c>
      <c r="B297" t="s">
        <v>849</v>
      </c>
      <c r="C297" t="s">
        <v>850</v>
      </c>
    </row>
    <row r="298" spans="1:3" x14ac:dyDescent="0.35">
      <c r="A298" t="s">
        <v>851</v>
      </c>
      <c r="B298" t="s">
        <v>852</v>
      </c>
      <c r="C298" t="s">
        <v>853</v>
      </c>
    </row>
    <row r="299" spans="1:3" x14ac:dyDescent="0.35">
      <c r="A299" t="s">
        <v>854</v>
      </c>
      <c r="B299" t="s">
        <v>855</v>
      </c>
      <c r="C299" t="s">
        <v>856</v>
      </c>
    </row>
    <row r="300" spans="1:3" x14ac:dyDescent="0.35">
      <c r="A300" t="s">
        <v>857</v>
      </c>
      <c r="B300" t="s">
        <v>858</v>
      </c>
      <c r="C300" t="s">
        <v>859</v>
      </c>
    </row>
    <row r="301" spans="1:3" x14ac:dyDescent="0.35">
      <c r="A301" t="s">
        <v>860</v>
      </c>
      <c r="B301" t="s">
        <v>861</v>
      </c>
      <c r="C301" t="s">
        <v>862</v>
      </c>
    </row>
    <row r="302" spans="1:3" x14ac:dyDescent="0.35">
      <c r="A302" t="s">
        <v>863</v>
      </c>
      <c r="B302" t="s">
        <v>864</v>
      </c>
      <c r="C302" t="s">
        <v>865</v>
      </c>
    </row>
    <row r="303" spans="1:3" x14ac:dyDescent="0.35">
      <c r="A303" t="s">
        <v>866</v>
      </c>
      <c r="B303" t="s">
        <v>867</v>
      </c>
      <c r="C303" t="s">
        <v>868</v>
      </c>
    </row>
    <row r="304" spans="1:3" x14ac:dyDescent="0.35">
      <c r="A304" t="s">
        <v>869</v>
      </c>
      <c r="B304" t="s">
        <v>870</v>
      </c>
      <c r="C304" t="s">
        <v>871</v>
      </c>
    </row>
    <row r="305" spans="1:3" x14ac:dyDescent="0.35">
      <c r="A305" t="s">
        <v>872</v>
      </c>
      <c r="B305" t="s">
        <v>873</v>
      </c>
      <c r="C305" t="s">
        <v>874</v>
      </c>
    </row>
    <row r="306" spans="1:3" x14ac:dyDescent="0.35">
      <c r="A306" t="s">
        <v>875</v>
      </c>
      <c r="B306" t="s">
        <v>876</v>
      </c>
      <c r="C306" t="s">
        <v>877</v>
      </c>
    </row>
    <row r="307" spans="1:3" x14ac:dyDescent="0.35">
      <c r="A307" t="s">
        <v>878</v>
      </c>
      <c r="B307" t="s">
        <v>879</v>
      </c>
      <c r="C307" t="s">
        <v>880</v>
      </c>
    </row>
    <row r="308" spans="1:3" x14ac:dyDescent="0.35">
      <c r="A308" t="s">
        <v>881</v>
      </c>
      <c r="B308" t="s">
        <v>882</v>
      </c>
      <c r="C308" t="s">
        <v>883</v>
      </c>
    </row>
    <row r="309" spans="1:3" x14ac:dyDescent="0.35">
      <c r="A309" t="s">
        <v>884</v>
      </c>
      <c r="B309">
        <v>2037221519</v>
      </c>
      <c r="C309" t="s">
        <v>885</v>
      </c>
    </row>
    <row r="310" spans="1:3" x14ac:dyDescent="0.35">
      <c r="A310" t="s">
        <v>886</v>
      </c>
      <c r="B310">
        <v>2597112422</v>
      </c>
      <c r="C310" t="s">
        <v>592</v>
      </c>
    </row>
    <row r="311" spans="1:3" x14ac:dyDescent="0.35">
      <c r="A311" t="s">
        <v>887</v>
      </c>
      <c r="B311" t="s">
        <v>888</v>
      </c>
      <c r="C311" t="s">
        <v>889</v>
      </c>
    </row>
    <row r="312" spans="1:3" x14ac:dyDescent="0.35">
      <c r="A312" t="s">
        <v>890</v>
      </c>
      <c r="B312" t="s">
        <v>891</v>
      </c>
      <c r="C312" t="s">
        <v>892</v>
      </c>
    </row>
    <row r="313" spans="1:3" x14ac:dyDescent="0.35">
      <c r="A313" t="s">
        <v>893</v>
      </c>
      <c r="B313">
        <f>1-456-298-6249</f>
        <v>-7002</v>
      </c>
      <c r="C313" t="s">
        <v>894</v>
      </c>
    </row>
    <row r="314" spans="1:3" x14ac:dyDescent="0.35">
      <c r="A314" t="s">
        <v>895</v>
      </c>
      <c r="B314">
        <v>5377448859</v>
      </c>
      <c r="C314" t="s">
        <v>896</v>
      </c>
    </row>
    <row r="315" spans="1:3" x14ac:dyDescent="0.35">
      <c r="A315" t="s">
        <v>897</v>
      </c>
      <c r="B315" t="s">
        <v>898</v>
      </c>
      <c r="C315" t="s">
        <v>899</v>
      </c>
    </row>
    <row r="316" spans="1:3" x14ac:dyDescent="0.35">
      <c r="A316" t="s">
        <v>900</v>
      </c>
      <c r="B316" t="s">
        <v>901</v>
      </c>
      <c r="C316" t="s">
        <v>902</v>
      </c>
    </row>
    <row r="317" spans="1:3" x14ac:dyDescent="0.35">
      <c r="A317" t="s">
        <v>903</v>
      </c>
      <c r="B317" t="s">
        <v>904</v>
      </c>
      <c r="C317" t="s">
        <v>905</v>
      </c>
    </row>
    <row r="318" spans="1:3" x14ac:dyDescent="0.35">
      <c r="A318" t="s">
        <v>906</v>
      </c>
      <c r="B318" t="s">
        <v>907</v>
      </c>
      <c r="C318" t="s">
        <v>908</v>
      </c>
    </row>
    <row r="319" spans="1:3" x14ac:dyDescent="0.35">
      <c r="A319" t="s">
        <v>909</v>
      </c>
      <c r="B319" t="s">
        <v>910</v>
      </c>
      <c r="C319" t="s">
        <v>911</v>
      </c>
    </row>
    <row r="320" spans="1:3" x14ac:dyDescent="0.35">
      <c r="A320" t="s">
        <v>912</v>
      </c>
      <c r="B320">
        <v>8415050468</v>
      </c>
      <c r="C320" t="s">
        <v>913</v>
      </c>
    </row>
    <row r="321" spans="1:3" x14ac:dyDescent="0.35">
      <c r="A321" t="s">
        <v>914</v>
      </c>
      <c r="B321" t="s">
        <v>915</v>
      </c>
      <c r="C321" t="s">
        <v>916</v>
      </c>
    </row>
    <row r="322" spans="1:3" x14ac:dyDescent="0.35">
      <c r="A322" t="s">
        <v>917</v>
      </c>
      <c r="B322" t="s">
        <v>918</v>
      </c>
      <c r="C322" t="s">
        <v>919</v>
      </c>
    </row>
    <row r="323" spans="1:3" x14ac:dyDescent="0.35">
      <c r="A323" t="s">
        <v>920</v>
      </c>
      <c r="B323" t="s">
        <v>921</v>
      </c>
      <c r="C323" t="s">
        <v>922</v>
      </c>
    </row>
    <row r="324" spans="1:3" x14ac:dyDescent="0.35">
      <c r="A324" t="s">
        <v>923</v>
      </c>
      <c r="B324" t="s">
        <v>924</v>
      </c>
      <c r="C324" t="s">
        <v>925</v>
      </c>
    </row>
    <row r="325" spans="1:3" x14ac:dyDescent="0.35">
      <c r="A325" t="s">
        <v>926</v>
      </c>
      <c r="B325" t="s">
        <v>927</v>
      </c>
      <c r="C325" t="s">
        <v>928</v>
      </c>
    </row>
    <row r="326" spans="1:3" x14ac:dyDescent="0.35">
      <c r="A326" t="s">
        <v>929</v>
      </c>
      <c r="B326" t="s">
        <v>930</v>
      </c>
      <c r="C326" t="s">
        <v>931</v>
      </c>
    </row>
    <row r="327" spans="1:3" x14ac:dyDescent="0.35">
      <c r="A327" t="s">
        <v>932</v>
      </c>
      <c r="B327" t="s">
        <v>933</v>
      </c>
      <c r="C327" t="s">
        <v>934</v>
      </c>
    </row>
    <row r="328" spans="1:3" x14ac:dyDescent="0.35">
      <c r="A328" t="s">
        <v>935</v>
      </c>
      <c r="B328" t="s">
        <v>936</v>
      </c>
      <c r="C328" t="s">
        <v>937</v>
      </c>
    </row>
    <row r="329" spans="1:3" x14ac:dyDescent="0.35">
      <c r="A329" t="s">
        <v>938</v>
      </c>
      <c r="B329" t="s">
        <v>939</v>
      </c>
      <c r="C329" t="s">
        <v>940</v>
      </c>
    </row>
    <row r="330" spans="1:3" x14ac:dyDescent="0.35">
      <c r="A330" t="s">
        <v>941</v>
      </c>
      <c r="B330" t="s">
        <v>942</v>
      </c>
      <c r="C330" t="s">
        <v>943</v>
      </c>
    </row>
    <row r="331" spans="1:3" x14ac:dyDescent="0.35">
      <c r="A331" t="s">
        <v>944</v>
      </c>
      <c r="B331" t="s">
        <v>945</v>
      </c>
      <c r="C331" t="s">
        <v>946</v>
      </c>
    </row>
    <row r="332" spans="1:3" x14ac:dyDescent="0.35">
      <c r="A332" t="s">
        <v>947</v>
      </c>
      <c r="B332" t="s">
        <v>948</v>
      </c>
      <c r="C332" t="s">
        <v>949</v>
      </c>
    </row>
    <row r="333" spans="1:3" x14ac:dyDescent="0.35">
      <c r="A333" t="s">
        <v>950</v>
      </c>
      <c r="B333" t="s">
        <v>951</v>
      </c>
      <c r="C333" t="s">
        <v>952</v>
      </c>
    </row>
    <row r="334" spans="1:3" x14ac:dyDescent="0.35">
      <c r="A334" t="s">
        <v>953</v>
      </c>
      <c r="B334" t="s">
        <v>954</v>
      </c>
      <c r="C334" t="s">
        <v>955</v>
      </c>
    </row>
    <row r="335" spans="1:3" x14ac:dyDescent="0.35">
      <c r="A335" t="s">
        <v>956</v>
      </c>
      <c r="B335" t="s">
        <v>957</v>
      </c>
      <c r="C335" t="s">
        <v>958</v>
      </c>
    </row>
    <row r="336" spans="1:3" x14ac:dyDescent="0.35">
      <c r="A336" t="s">
        <v>959</v>
      </c>
      <c r="B336" t="s">
        <v>960</v>
      </c>
      <c r="C336" t="s">
        <v>961</v>
      </c>
    </row>
    <row r="337" spans="1:3" x14ac:dyDescent="0.35">
      <c r="A337" t="s">
        <v>962</v>
      </c>
      <c r="B337" t="s">
        <v>963</v>
      </c>
      <c r="C337" t="s">
        <v>964</v>
      </c>
    </row>
    <row r="338" spans="1:3" x14ac:dyDescent="0.35">
      <c r="A338" t="s">
        <v>965</v>
      </c>
      <c r="B338" t="s">
        <v>966</v>
      </c>
      <c r="C338" t="s">
        <v>967</v>
      </c>
    </row>
    <row r="339" spans="1:3" x14ac:dyDescent="0.35">
      <c r="A339" t="s">
        <v>968</v>
      </c>
      <c r="B339" t="s">
        <v>969</v>
      </c>
      <c r="C339" t="s">
        <v>970</v>
      </c>
    </row>
    <row r="340" spans="1:3" x14ac:dyDescent="0.35">
      <c r="A340" t="s">
        <v>971</v>
      </c>
      <c r="B340" t="s">
        <v>972</v>
      </c>
      <c r="C340" t="s">
        <v>973</v>
      </c>
    </row>
    <row r="341" spans="1:3" x14ac:dyDescent="0.35">
      <c r="A341" t="s">
        <v>974</v>
      </c>
      <c r="B341" t="s">
        <v>975</v>
      </c>
      <c r="C341" t="s">
        <v>976</v>
      </c>
    </row>
    <row r="342" spans="1:3" x14ac:dyDescent="0.35">
      <c r="A342" t="s">
        <v>977</v>
      </c>
      <c r="B342" t="s">
        <v>978</v>
      </c>
      <c r="C342" t="s">
        <v>979</v>
      </c>
    </row>
    <row r="343" spans="1:3" x14ac:dyDescent="0.35">
      <c r="A343" t="s">
        <v>980</v>
      </c>
      <c r="B343" t="s">
        <v>981</v>
      </c>
      <c r="C343" t="s">
        <v>982</v>
      </c>
    </row>
    <row r="344" spans="1:3" x14ac:dyDescent="0.35">
      <c r="A344" t="s">
        <v>983</v>
      </c>
      <c r="B344" t="s">
        <v>984</v>
      </c>
      <c r="C344" t="s">
        <v>985</v>
      </c>
    </row>
    <row r="345" spans="1:3" x14ac:dyDescent="0.35">
      <c r="A345" t="s">
        <v>986</v>
      </c>
      <c r="B345">
        <v>6178923103</v>
      </c>
      <c r="C345" t="s">
        <v>987</v>
      </c>
    </row>
    <row r="346" spans="1:3" x14ac:dyDescent="0.35">
      <c r="A346" t="s">
        <v>988</v>
      </c>
      <c r="B346" t="s">
        <v>989</v>
      </c>
      <c r="C346" t="s">
        <v>990</v>
      </c>
    </row>
    <row r="347" spans="1:3" x14ac:dyDescent="0.35">
      <c r="A347" t="s">
        <v>991</v>
      </c>
      <c r="B347" t="s">
        <v>992</v>
      </c>
      <c r="C347" t="s">
        <v>993</v>
      </c>
    </row>
    <row r="348" spans="1:3" x14ac:dyDescent="0.35">
      <c r="A348" t="s">
        <v>994</v>
      </c>
      <c r="B348" t="s">
        <v>995</v>
      </c>
      <c r="C348" t="s">
        <v>996</v>
      </c>
    </row>
    <row r="349" spans="1:3" x14ac:dyDescent="0.35">
      <c r="A349" t="s">
        <v>997</v>
      </c>
      <c r="B349" t="s">
        <v>998</v>
      </c>
      <c r="C349" t="s">
        <v>999</v>
      </c>
    </row>
    <row r="350" spans="1:3" x14ac:dyDescent="0.35">
      <c r="A350" t="s">
        <v>1000</v>
      </c>
      <c r="B350" t="s">
        <v>1001</v>
      </c>
      <c r="C350" t="s">
        <v>1002</v>
      </c>
    </row>
    <row r="351" spans="1:3" x14ac:dyDescent="0.35">
      <c r="A351" t="s">
        <v>1003</v>
      </c>
      <c r="B351" t="s">
        <v>1004</v>
      </c>
      <c r="C351" t="s">
        <v>979</v>
      </c>
    </row>
    <row r="352" spans="1:3" x14ac:dyDescent="0.35">
      <c r="A352" t="s">
        <v>1005</v>
      </c>
      <c r="B352" t="s">
        <v>1006</v>
      </c>
      <c r="C352" t="s">
        <v>1007</v>
      </c>
    </row>
    <row r="353" spans="1:3" x14ac:dyDescent="0.35">
      <c r="A353" t="s">
        <v>1008</v>
      </c>
      <c r="B353" t="s">
        <v>1009</v>
      </c>
      <c r="C353" t="s">
        <v>1010</v>
      </c>
    </row>
    <row r="354" spans="1:3" x14ac:dyDescent="0.35">
      <c r="A354" t="s">
        <v>1011</v>
      </c>
      <c r="B354" t="s">
        <v>1012</v>
      </c>
      <c r="C354" t="s">
        <v>1013</v>
      </c>
    </row>
    <row r="355" spans="1:3" x14ac:dyDescent="0.35">
      <c r="A355" t="s">
        <v>1014</v>
      </c>
      <c r="B355" t="s">
        <v>1015</v>
      </c>
      <c r="C355" t="s">
        <v>1016</v>
      </c>
    </row>
    <row r="356" spans="1:3" x14ac:dyDescent="0.35">
      <c r="A356" t="s">
        <v>1017</v>
      </c>
      <c r="B356" t="s">
        <v>1018</v>
      </c>
      <c r="C356" t="s">
        <v>1019</v>
      </c>
    </row>
    <row r="357" spans="1:3" x14ac:dyDescent="0.35">
      <c r="A357" t="s">
        <v>1020</v>
      </c>
      <c r="B357" t="s">
        <v>1021</v>
      </c>
      <c r="C357" t="s">
        <v>1022</v>
      </c>
    </row>
    <row r="358" spans="1:3" x14ac:dyDescent="0.35">
      <c r="A358" t="s">
        <v>1023</v>
      </c>
      <c r="B358" t="s">
        <v>1024</v>
      </c>
      <c r="C358" t="s">
        <v>1025</v>
      </c>
    </row>
    <row r="359" spans="1:3" x14ac:dyDescent="0.35">
      <c r="A359" t="s">
        <v>1026</v>
      </c>
      <c r="B359">
        <v>4259531583</v>
      </c>
      <c r="C359" t="s">
        <v>1027</v>
      </c>
    </row>
    <row r="360" spans="1:3" x14ac:dyDescent="0.35">
      <c r="A360" t="s">
        <v>1028</v>
      </c>
      <c r="B360" t="s">
        <v>1029</v>
      </c>
      <c r="C360" t="s">
        <v>1030</v>
      </c>
    </row>
    <row r="361" spans="1:3" x14ac:dyDescent="0.35">
      <c r="A361" t="s">
        <v>1031</v>
      </c>
      <c r="B361" t="s">
        <v>1032</v>
      </c>
      <c r="C361" t="s">
        <v>1033</v>
      </c>
    </row>
    <row r="362" spans="1:3" x14ac:dyDescent="0.35">
      <c r="A362" t="s">
        <v>1034</v>
      </c>
      <c r="B362" t="s">
        <v>1035</v>
      </c>
      <c r="C362" t="s">
        <v>1036</v>
      </c>
    </row>
    <row r="363" spans="1:3" x14ac:dyDescent="0.35">
      <c r="A363" t="s">
        <v>1037</v>
      </c>
      <c r="B363" t="s">
        <v>1038</v>
      </c>
      <c r="C363" t="s">
        <v>1039</v>
      </c>
    </row>
    <row r="364" spans="1:3" x14ac:dyDescent="0.35">
      <c r="A364" t="s">
        <v>1040</v>
      </c>
      <c r="B364" t="s">
        <v>1041</v>
      </c>
      <c r="C364" t="s">
        <v>1042</v>
      </c>
    </row>
    <row r="365" spans="1:3" x14ac:dyDescent="0.35">
      <c r="A365" t="s">
        <v>1043</v>
      </c>
      <c r="B365" t="s">
        <v>1044</v>
      </c>
      <c r="C365" t="s">
        <v>1045</v>
      </c>
    </row>
    <row r="366" spans="1:3" x14ac:dyDescent="0.35">
      <c r="A366" t="s">
        <v>1046</v>
      </c>
      <c r="B366" t="s">
        <v>1047</v>
      </c>
      <c r="C366" t="s">
        <v>1048</v>
      </c>
    </row>
    <row r="367" spans="1:3" x14ac:dyDescent="0.35">
      <c r="A367" t="s">
        <v>1049</v>
      </c>
      <c r="B367" t="s">
        <v>1050</v>
      </c>
      <c r="C367" t="s">
        <v>1051</v>
      </c>
    </row>
    <row r="368" spans="1:3" x14ac:dyDescent="0.35">
      <c r="A368" t="s">
        <v>1052</v>
      </c>
      <c r="B368" t="s">
        <v>1053</v>
      </c>
      <c r="C368" t="s">
        <v>1054</v>
      </c>
    </row>
    <row r="369" spans="1:3" x14ac:dyDescent="0.35">
      <c r="A369" t="s">
        <v>1055</v>
      </c>
      <c r="B369" t="s">
        <v>1056</v>
      </c>
      <c r="C369" t="s">
        <v>1057</v>
      </c>
    </row>
    <row r="370" spans="1:3" x14ac:dyDescent="0.35">
      <c r="A370" t="s">
        <v>1058</v>
      </c>
      <c r="B370" t="s">
        <v>1059</v>
      </c>
      <c r="C370" t="s">
        <v>1060</v>
      </c>
    </row>
    <row r="371" spans="1:3" x14ac:dyDescent="0.35">
      <c r="A371" t="s">
        <v>1061</v>
      </c>
      <c r="B371" t="s">
        <v>1062</v>
      </c>
      <c r="C371" t="s">
        <v>1063</v>
      </c>
    </row>
    <row r="372" spans="1:3" x14ac:dyDescent="0.35">
      <c r="A372" t="s">
        <v>1064</v>
      </c>
      <c r="B372" t="s">
        <v>1065</v>
      </c>
      <c r="C372" t="s">
        <v>1066</v>
      </c>
    </row>
    <row r="373" spans="1:3" x14ac:dyDescent="0.35">
      <c r="A373" t="s">
        <v>1067</v>
      </c>
      <c r="B373" t="s">
        <v>1068</v>
      </c>
      <c r="C373" t="s">
        <v>1069</v>
      </c>
    </row>
    <row r="374" spans="1:3" x14ac:dyDescent="0.35">
      <c r="A374" t="s">
        <v>1070</v>
      </c>
      <c r="B374" t="s">
        <v>1071</v>
      </c>
      <c r="C374" t="s">
        <v>1072</v>
      </c>
    </row>
    <row r="375" spans="1:3" x14ac:dyDescent="0.35">
      <c r="A375" t="s">
        <v>1073</v>
      </c>
      <c r="B375" t="s">
        <v>1074</v>
      </c>
      <c r="C375" t="s">
        <v>1075</v>
      </c>
    </row>
    <row r="376" spans="1:3" x14ac:dyDescent="0.35">
      <c r="A376" t="s">
        <v>1076</v>
      </c>
      <c r="B376" t="s">
        <v>1077</v>
      </c>
      <c r="C376" t="s">
        <v>1078</v>
      </c>
    </row>
    <row r="377" spans="1:3" x14ac:dyDescent="0.35">
      <c r="A377" t="s">
        <v>1079</v>
      </c>
      <c r="B377" t="s">
        <v>1080</v>
      </c>
      <c r="C377" t="s">
        <v>1081</v>
      </c>
    </row>
    <row r="378" spans="1:3" x14ac:dyDescent="0.35">
      <c r="A378" t="s">
        <v>1082</v>
      </c>
      <c r="B378" t="s">
        <v>1083</v>
      </c>
      <c r="C378" t="s">
        <v>1084</v>
      </c>
    </row>
    <row r="379" spans="1:3" x14ac:dyDescent="0.35">
      <c r="A379" t="s">
        <v>1085</v>
      </c>
      <c r="B379" t="s">
        <v>1086</v>
      </c>
      <c r="C379" t="s">
        <v>1087</v>
      </c>
    </row>
    <row r="380" spans="1:3" x14ac:dyDescent="0.35">
      <c r="A380" t="s">
        <v>1088</v>
      </c>
      <c r="B380" t="s">
        <v>1089</v>
      </c>
      <c r="C380" t="s">
        <v>1090</v>
      </c>
    </row>
    <row r="381" spans="1:3" x14ac:dyDescent="0.35">
      <c r="A381" t="s">
        <v>1091</v>
      </c>
      <c r="B381" t="s">
        <v>1092</v>
      </c>
      <c r="C381" t="s">
        <v>1093</v>
      </c>
    </row>
    <row r="382" spans="1:3" x14ac:dyDescent="0.35">
      <c r="A382" t="s">
        <v>1094</v>
      </c>
      <c r="B382" t="s">
        <v>1095</v>
      </c>
      <c r="C382" t="s">
        <v>1096</v>
      </c>
    </row>
    <row r="383" spans="1:3" x14ac:dyDescent="0.35">
      <c r="A383" t="s">
        <v>1097</v>
      </c>
      <c r="B383" t="s">
        <v>1098</v>
      </c>
      <c r="C383" t="s">
        <v>1099</v>
      </c>
    </row>
    <row r="384" spans="1:3" x14ac:dyDescent="0.35">
      <c r="A384" t="s">
        <v>1100</v>
      </c>
      <c r="B384">
        <v>6243684357</v>
      </c>
      <c r="C384" t="s">
        <v>1101</v>
      </c>
    </row>
    <row r="385" spans="1:3" x14ac:dyDescent="0.35">
      <c r="A385" t="s">
        <v>1102</v>
      </c>
      <c r="B385" t="s">
        <v>1103</v>
      </c>
      <c r="C385" t="s">
        <v>1104</v>
      </c>
    </row>
    <row r="386" spans="1:3" x14ac:dyDescent="0.35">
      <c r="A386" t="s">
        <v>1105</v>
      </c>
      <c r="B386" t="s">
        <v>1106</v>
      </c>
      <c r="C386" t="s">
        <v>1107</v>
      </c>
    </row>
    <row r="387" spans="1:3" x14ac:dyDescent="0.35">
      <c r="A387" t="s">
        <v>1108</v>
      </c>
      <c r="B387" t="s">
        <v>1109</v>
      </c>
      <c r="C387" t="s">
        <v>1110</v>
      </c>
    </row>
    <row r="388" spans="1:3" x14ac:dyDescent="0.35">
      <c r="A388" t="s">
        <v>1111</v>
      </c>
      <c r="B388" t="s">
        <v>1112</v>
      </c>
      <c r="C388" t="s">
        <v>1113</v>
      </c>
    </row>
    <row r="389" spans="1:3" x14ac:dyDescent="0.35">
      <c r="A389" t="s">
        <v>1114</v>
      </c>
      <c r="B389" t="s">
        <v>1115</v>
      </c>
      <c r="C389" t="s">
        <v>1116</v>
      </c>
    </row>
    <row r="390" spans="1:3" x14ac:dyDescent="0.35">
      <c r="A390" t="s">
        <v>1117</v>
      </c>
      <c r="B390" t="s">
        <v>1118</v>
      </c>
      <c r="C390" t="s">
        <v>1119</v>
      </c>
    </row>
    <row r="391" spans="1:3" x14ac:dyDescent="0.35">
      <c r="A391" t="s">
        <v>1120</v>
      </c>
      <c r="B391">
        <v>7927689626</v>
      </c>
      <c r="C391" t="s">
        <v>1121</v>
      </c>
    </row>
    <row r="392" spans="1:3" x14ac:dyDescent="0.35">
      <c r="A392" t="s">
        <v>1122</v>
      </c>
      <c r="B392" t="s">
        <v>1123</v>
      </c>
      <c r="C392" t="s">
        <v>667</v>
      </c>
    </row>
    <row r="393" spans="1:3" x14ac:dyDescent="0.35">
      <c r="A393" t="s">
        <v>1124</v>
      </c>
      <c r="B393" t="s">
        <v>1125</v>
      </c>
      <c r="C393" t="s">
        <v>1126</v>
      </c>
    </row>
    <row r="394" spans="1:3" x14ac:dyDescent="0.35">
      <c r="A394" t="s">
        <v>1127</v>
      </c>
      <c r="B394">
        <v>5546119640</v>
      </c>
      <c r="C394" t="s">
        <v>1128</v>
      </c>
    </row>
    <row r="395" spans="1:3" x14ac:dyDescent="0.35">
      <c r="A395" t="s">
        <v>1129</v>
      </c>
      <c r="B395">
        <v>5522301855</v>
      </c>
      <c r="C395" t="s">
        <v>1130</v>
      </c>
    </row>
    <row r="396" spans="1:3" x14ac:dyDescent="0.35">
      <c r="A396" t="s">
        <v>1131</v>
      </c>
      <c r="B396" t="s">
        <v>1132</v>
      </c>
      <c r="C396" t="s">
        <v>1133</v>
      </c>
    </row>
    <row r="397" spans="1:3" x14ac:dyDescent="0.35">
      <c r="A397" t="s">
        <v>1134</v>
      </c>
      <c r="B397" t="s">
        <v>1135</v>
      </c>
      <c r="C397" t="s">
        <v>1136</v>
      </c>
    </row>
    <row r="398" spans="1:3" x14ac:dyDescent="0.35">
      <c r="A398" t="s">
        <v>1137</v>
      </c>
      <c r="B398" t="s">
        <v>1138</v>
      </c>
      <c r="C398" t="s">
        <v>1139</v>
      </c>
    </row>
    <row r="399" spans="1:3" x14ac:dyDescent="0.35">
      <c r="A399" t="s">
        <v>1140</v>
      </c>
      <c r="B399" t="s">
        <v>1141</v>
      </c>
      <c r="C399" t="s">
        <v>1142</v>
      </c>
    </row>
    <row r="400" spans="1:3" x14ac:dyDescent="0.35">
      <c r="A400" t="s">
        <v>1143</v>
      </c>
      <c r="B400" t="s">
        <v>1144</v>
      </c>
      <c r="C400" t="s">
        <v>1145</v>
      </c>
    </row>
    <row r="401" spans="1:3" x14ac:dyDescent="0.35">
      <c r="A401" t="s">
        <v>1146</v>
      </c>
      <c r="B401" t="s">
        <v>1147</v>
      </c>
      <c r="C401" t="s">
        <v>1148</v>
      </c>
    </row>
    <row r="402" spans="1:3" x14ac:dyDescent="0.35">
      <c r="A402" t="s">
        <v>1149</v>
      </c>
      <c r="B402" t="s">
        <v>1150</v>
      </c>
      <c r="C402" t="s">
        <v>1151</v>
      </c>
    </row>
    <row r="403" spans="1:3" x14ac:dyDescent="0.35">
      <c r="A403" t="s">
        <v>1152</v>
      </c>
      <c r="B403" t="s">
        <v>1153</v>
      </c>
      <c r="C403" t="s">
        <v>1154</v>
      </c>
    </row>
    <row r="404" spans="1:3" x14ac:dyDescent="0.35">
      <c r="A404" t="s">
        <v>1155</v>
      </c>
      <c r="B404" t="s">
        <v>1156</v>
      </c>
      <c r="C404" t="s">
        <v>1157</v>
      </c>
    </row>
    <row r="405" spans="1:3" x14ac:dyDescent="0.35">
      <c r="A405" t="s">
        <v>1158</v>
      </c>
      <c r="B405" t="s">
        <v>1159</v>
      </c>
      <c r="C405" t="s">
        <v>1160</v>
      </c>
    </row>
    <row r="406" spans="1:3" x14ac:dyDescent="0.35">
      <c r="A406" t="s">
        <v>1161</v>
      </c>
      <c r="B406" t="s">
        <v>1162</v>
      </c>
      <c r="C406" t="s">
        <v>1163</v>
      </c>
    </row>
    <row r="407" spans="1:3" x14ac:dyDescent="0.35">
      <c r="A407" t="s">
        <v>1164</v>
      </c>
      <c r="B407">
        <v>3256339907</v>
      </c>
      <c r="C407" t="s">
        <v>1165</v>
      </c>
    </row>
    <row r="408" spans="1:3" x14ac:dyDescent="0.35">
      <c r="A408" t="s">
        <v>1166</v>
      </c>
      <c r="B408" t="s">
        <v>1167</v>
      </c>
      <c r="C408" t="s">
        <v>1168</v>
      </c>
    </row>
    <row r="409" spans="1:3" x14ac:dyDescent="0.35">
      <c r="A409" t="s">
        <v>1169</v>
      </c>
      <c r="B409" t="s">
        <v>1170</v>
      </c>
      <c r="C409" t="s">
        <v>1171</v>
      </c>
    </row>
    <row r="410" spans="1:3" x14ac:dyDescent="0.35">
      <c r="A410" t="s">
        <v>1172</v>
      </c>
      <c r="B410" t="s">
        <v>1173</v>
      </c>
      <c r="C410" t="s">
        <v>1174</v>
      </c>
    </row>
    <row r="411" spans="1:3" x14ac:dyDescent="0.35">
      <c r="A411" t="s">
        <v>1175</v>
      </c>
      <c r="B411" t="s">
        <v>1176</v>
      </c>
      <c r="C411" t="s">
        <v>1177</v>
      </c>
    </row>
    <row r="412" spans="1:3" x14ac:dyDescent="0.35">
      <c r="A412" t="s">
        <v>1178</v>
      </c>
      <c r="B412" t="s">
        <v>1179</v>
      </c>
      <c r="C412" t="s">
        <v>1180</v>
      </c>
    </row>
    <row r="413" spans="1:3" x14ac:dyDescent="0.35">
      <c r="A413" t="s">
        <v>1181</v>
      </c>
      <c r="B413" t="s">
        <v>1182</v>
      </c>
      <c r="C413" t="s">
        <v>1183</v>
      </c>
    </row>
    <row r="414" spans="1:3" x14ac:dyDescent="0.35">
      <c r="A414" t="s">
        <v>1184</v>
      </c>
      <c r="B414" t="s">
        <v>1185</v>
      </c>
      <c r="C414" t="s">
        <v>1186</v>
      </c>
    </row>
    <row r="415" spans="1:3" x14ac:dyDescent="0.35">
      <c r="A415" t="s">
        <v>1187</v>
      </c>
      <c r="B415" t="s">
        <v>1188</v>
      </c>
      <c r="C415" t="s">
        <v>1189</v>
      </c>
    </row>
    <row r="416" spans="1:3" x14ac:dyDescent="0.35">
      <c r="A416" t="s">
        <v>1190</v>
      </c>
      <c r="B416" t="s">
        <v>1191</v>
      </c>
      <c r="C416" t="s">
        <v>1192</v>
      </c>
    </row>
    <row r="417" spans="1:3" x14ac:dyDescent="0.35">
      <c r="A417" t="s">
        <v>1193</v>
      </c>
      <c r="B417" t="s">
        <v>1194</v>
      </c>
      <c r="C417" t="s">
        <v>1195</v>
      </c>
    </row>
    <row r="418" spans="1:3" x14ac:dyDescent="0.35">
      <c r="A418" t="s">
        <v>1196</v>
      </c>
      <c r="B418" t="s">
        <v>1197</v>
      </c>
      <c r="C418" t="s">
        <v>1198</v>
      </c>
    </row>
    <row r="419" spans="1:3" x14ac:dyDescent="0.35">
      <c r="A419" t="s">
        <v>1199</v>
      </c>
      <c r="B419" t="s">
        <v>1200</v>
      </c>
      <c r="C419" t="s">
        <v>1201</v>
      </c>
    </row>
    <row r="420" spans="1:3" x14ac:dyDescent="0.35">
      <c r="A420" t="s">
        <v>1202</v>
      </c>
      <c r="B420" t="s">
        <v>1203</v>
      </c>
      <c r="C420" t="s">
        <v>1204</v>
      </c>
    </row>
    <row r="421" spans="1:3" x14ac:dyDescent="0.35">
      <c r="A421" t="s">
        <v>1205</v>
      </c>
      <c r="B421" t="s">
        <v>1206</v>
      </c>
      <c r="C421" t="s">
        <v>1207</v>
      </c>
    </row>
    <row r="422" spans="1:3" x14ac:dyDescent="0.35">
      <c r="A422" t="s">
        <v>1208</v>
      </c>
      <c r="B422" t="s">
        <v>1209</v>
      </c>
      <c r="C422" t="s">
        <v>1210</v>
      </c>
    </row>
    <row r="423" spans="1:3" x14ac:dyDescent="0.35">
      <c r="A423" t="s">
        <v>1211</v>
      </c>
      <c r="B423">
        <f>1-737-990-538</f>
        <v>-2264</v>
      </c>
      <c r="C423" t="s">
        <v>1212</v>
      </c>
    </row>
    <row r="424" spans="1:3" x14ac:dyDescent="0.35">
      <c r="A424" t="s">
        <v>1213</v>
      </c>
      <c r="B424">
        <f>1-667-420-7993</f>
        <v>-9079</v>
      </c>
      <c r="C424" t="s">
        <v>1214</v>
      </c>
    </row>
    <row r="425" spans="1:3" x14ac:dyDescent="0.35">
      <c r="A425" t="s">
        <v>1215</v>
      </c>
      <c r="B425" t="s">
        <v>1216</v>
      </c>
      <c r="C425" t="s">
        <v>1217</v>
      </c>
    </row>
    <row r="426" spans="1:3" x14ac:dyDescent="0.35">
      <c r="A426" t="s">
        <v>1218</v>
      </c>
      <c r="B426" t="s">
        <v>1219</v>
      </c>
      <c r="C426" t="s">
        <v>1220</v>
      </c>
    </row>
    <row r="427" spans="1:3" x14ac:dyDescent="0.35">
      <c r="A427" t="s">
        <v>1221</v>
      </c>
      <c r="B427" t="s">
        <v>1222</v>
      </c>
      <c r="C427" t="s">
        <v>1223</v>
      </c>
    </row>
    <row r="428" spans="1:3" x14ac:dyDescent="0.35">
      <c r="A428" t="s">
        <v>1224</v>
      </c>
      <c r="B428" t="s">
        <v>1225</v>
      </c>
      <c r="C428" t="s">
        <v>1226</v>
      </c>
    </row>
    <row r="429" spans="1:3" x14ac:dyDescent="0.35">
      <c r="A429" t="s">
        <v>1227</v>
      </c>
      <c r="B429" t="s">
        <v>1228</v>
      </c>
      <c r="C429" t="s">
        <v>1229</v>
      </c>
    </row>
    <row r="430" spans="1:3" x14ac:dyDescent="0.35">
      <c r="A430" t="s">
        <v>1230</v>
      </c>
      <c r="B430" t="s">
        <v>1231</v>
      </c>
      <c r="C430" t="s">
        <v>494</v>
      </c>
    </row>
    <row r="431" spans="1:3" x14ac:dyDescent="0.35">
      <c r="A431" t="s">
        <v>1232</v>
      </c>
      <c r="B431" t="s">
        <v>1233</v>
      </c>
      <c r="C431" t="s">
        <v>1234</v>
      </c>
    </row>
    <row r="432" spans="1:3" x14ac:dyDescent="0.35">
      <c r="A432" t="s">
        <v>1235</v>
      </c>
      <c r="B432" t="s">
        <v>1236</v>
      </c>
      <c r="C432" t="s">
        <v>1237</v>
      </c>
    </row>
    <row r="433" spans="1:3" x14ac:dyDescent="0.35">
      <c r="A433" t="s">
        <v>1238</v>
      </c>
      <c r="B433" t="s">
        <v>1239</v>
      </c>
      <c r="C433" t="s">
        <v>1240</v>
      </c>
    </row>
    <row r="434" spans="1:3" x14ac:dyDescent="0.35">
      <c r="A434" t="s">
        <v>1241</v>
      </c>
      <c r="B434" t="s">
        <v>1242</v>
      </c>
      <c r="C434" t="s">
        <v>1243</v>
      </c>
    </row>
    <row r="435" spans="1:3" x14ac:dyDescent="0.35">
      <c r="A435" t="s">
        <v>1244</v>
      </c>
      <c r="B435" t="s">
        <v>1245</v>
      </c>
      <c r="C435" t="s">
        <v>1246</v>
      </c>
    </row>
    <row r="436" spans="1:3" x14ac:dyDescent="0.35">
      <c r="A436" t="s">
        <v>1247</v>
      </c>
      <c r="B436" t="s">
        <v>1248</v>
      </c>
      <c r="C436" t="s">
        <v>1249</v>
      </c>
    </row>
    <row r="437" spans="1:3" x14ac:dyDescent="0.35">
      <c r="A437" t="s">
        <v>1250</v>
      </c>
      <c r="B437" t="s">
        <v>1251</v>
      </c>
      <c r="C437" t="s">
        <v>1252</v>
      </c>
    </row>
    <row r="438" spans="1:3" x14ac:dyDescent="0.35">
      <c r="A438" t="s">
        <v>1253</v>
      </c>
      <c r="B438" t="s">
        <v>1254</v>
      </c>
      <c r="C438" t="s">
        <v>1255</v>
      </c>
    </row>
    <row r="439" spans="1:3" x14ac:dyDescent="0.35">
      <c r="A439" t="s">
        <v>1256</v>
      </c>
      <c r="B439" t="s">
        <v>1257</v>
      </c>
      <c r="C439" t="s">
        <v>1258</v>
      </c>
    </row>
    <row r="440" spans="1:3" x14ac:dyDescent="0.35">
      <c r="A440" t="s">
        <v>1259</v>
      </c>
      <c r="B440" t="s">
        <v>1260</v>
      </c>
      <c r="C440" t="s">
        <v>1261</v>
      </c>
    </row>
    <row r="441" spans="1:3" x14ac:dyDescent="0.35">
      <c r="A441" t="s">
        <v>1262</v>
      </c>
      <c r="B441">
        <v>2314164032</v>
      </c>
      <c r="C441" t="s">
        <v>330</v>
      </c>
    </row>
    <row r="442" spans="1:3" x14ac:dyDescent="0.35">
      <c r="A442" t="s">
        <v>1263</v>
      </c>
      <c r="B442" t="s">
        <v>1264</v>
      </c>
      <c r="C442" t="s">
        <v>1265</v>
      </c>
    </row>
    <row r="443" spans="1:3" x14ac:dyDescent="0.35">
      <c r="A443" t="s">
        <v>1266</v>
      </c>
      <c r="B443" t="s">
        <v>1267</v>
      </c>
      <c r="C443" t="s">
        <v>1268</v>
      </c>
    </row>
    <row r="444" spans="1:3" x14ac:dyDescent="0.35">
      <c r="A444" t="s">
        <v>1269</v>
      </c>
      <c r="B444" t="s">
        <v>1270</v>
      </c>
      <c r="C444" t="s">
        <v>1271</v>
      </c>
    </row>
    <row r="445" spans="1:3" x14ac:dyDescent="0.35">
      <c r="A445" t="s">
        <v>1272</v>
      </c>
      <c r="B445" t="s">
        <v>1273</v>
      </c>
      <c r="C445" t="s">
        <v>1274</v>
      </c>
    </row>
    <row r="446" spans="1:3" x14ac:dyDescent="0.35">
      <c r="A446" t="s">
        <v>1275</v>
      </c>
      <c r="B446" t="s">
        <v>1276</v>
      </c>
      <c r="C446" t="s">
        <v>1277</v>
      </c>
    </row>
    <row r="447" spans="1:3" x14ac:dyDescent="0.35">
      <c r="A447" t="s">
        <v>1278</v>
      </c>
      <c r="B447">
        <v>5458147128</v>
      </c>
      <c r="C447" t="s">
        <v>1279</v>
      </c>
    </row>
    <row r="448" spans="1:3" x14ac:dyDescent="0.35">
      <c r="A448" t="s">
        <v>1280</v>
      </c>
      <c r="B448" t="s">
        <v>1281</v>
      </c>
      <c r="C448" t="s">
        <v>1282</v>
      </c>
    </row>
    <row r="449" spans="1:3" x14ac:dyDescent="0.35">
      <c r="A449" t="s">
        <v>1283</v>
      </c>
      <c r="B449" t="s">
        <v>1284</v>
      </c>
      <c r="C449" t="s">
        <v>1285</v>
      </c>
    </row>
    <row r="450" spans="1:3" x14ac:dyDescent="0.35">
      <c r="A450" t="s">
        <v>1286</v>
      </c>
      <c r="B450" t="s">
        <v>1287</v>
      </c>
      <c r="C450" t="s">
        <v>1288</v>
      </c>
    </row>
    <row r="451" spans="1:3" x14ac:dyDescent="0.35">
      <c r="A451" t="s">
        <v>1289</v>
      </c>
      <c r="B451" t="s">
        <v>1290</v>
      </c>
      <c r="C451" t="s">
        <v>1291</v>
      </c>
    </row>
    <row r="452" spans="1:3" x14ac:dyDescent="0.35">
      <c r="A452" t="s">
        <v>1292</v>
      </c>
      <c r="B452" t="s">
        <v>1293</v>
      </c>
      <c r="C452" t="s">
        <v>1294</v>
      </c>
    </row>
    <row r="453" spans="1:3" x14ac:dyDescent="0.35">
      <c r="A453" t="s">
        <v>1295</v>
      </c>
      <c r="B453" t="s">
        <v>1296</v>
      </c>
      <c r="C453" t="s">
        <v>1297</v>
      </c>
    </row>
    <row r="454" spans="1:3" x14ac:dyDescent="0.35">
      <c r="A454" t="s">
        <v>1298</v>
      </c>
      <c r="B454" t="s">
        <v>1299</v>
      </c>
      <c r="C454" t="s">
        <v>1300</v>
      </c>
    </row>
    <row r="455" spans="1:3" x14ac:dyDescent="0.35">
      <c r="A455" t="s">
        <v>1301</v>
      </c>
      <c r="B455" t="s">
        <v>1302</v>
      </c>
      <c r="C455" t="s">
        <v>1303</v>
      </c>
    </row>
    <row r="456" spans="1:3" x14ac:dyDescent="0.35">
      <c r="A456" t="s">
        <v>1304</v>
      </c>
      <c r="B456" t="s">
        <v>1305</v>
      </c>
      <c r="C456" t="s">
        <v>1306</v>
      </c>
    </row>
    <row r="457" spans="1:3" x14ac:dyDescent="0.35">
      <c r="A457" t="s">
        <v>1307</v>
      </c>
      <c r="B457" t="s">
        <v>1308</v>
      </c>
      <c r="C457" t="s">
        <v>1309</v>
      </c>
    </row>
    <row r="458" spans="1:3" x14ac:dyDescent="0.35">
      <c r="A458" t="s">
        <v>1310</v>
      </c>
      <c r="B458" t="s">
        <v>1311</v>
      </c>
      <c r="C458" t="s">
        <v>1312</v>
      </c>
    </row>
    <row r="459" spans="1:3" x14ac:dyDescent="0.35">
      <c r="A459" t="s">
        <v>1313</v>
      </c>
      <c r="B459">
        <f>1-962-604-632</f>
        <v>-2197</v>
      </c>
      <c r="C459" t="s">
        <v>1314</v>
      </c>
    </row>
    <row r="460" spans="1:3" x14ac:dyDescent="0.35">
      <c r="A460" t="s">
        <v>1315</v>
      </c>
      <c r="B460" t="s">
        <v>1316</v>
      </c>
      <c r="C460" t="s">
        <v>1317</v>
      </c>
    </row>
    <row r="461" spans="1:3" x14ac:dyDescent="0.35">
      <c r="A461" t="s">
        <v>1318</v>
      </c>
      <c r="B461" t="s">
        <v>1319</v>
      </c>
      <c r="C461" t="s">
        <v>407</v>
      </c>
    </row>
    <row r="462" spans="1:3" x14ac:dyDescent="0.35">
      <c r="A462" t="s">
        <v>1320</v>
      </c>
      <c r="B462" t="s">
        <v>1321</v>
      </c>
      <c r="C462" t="s">
        <v>1322</v>
      </c>
    </row>
    <row r="463" spans="1:3" x14ac:dyDescent="0.35">
      <c r="A463" t="s">
        <v>1323</v>
      </c>
      <c r="B463">
        <f>1-828-466-1542</f>
        <v>-2835</v>
      </c>
      <c r="C463" t="s">
        <v>1324</v>
      </c>
    </row>
    <row r="464" spans="1:3" x14ac:dyDescent="0.35">
      <c r="A464" t="s">
        <v>1325</v>
      </c>
      <c r="B464" t="s">
        <v>1326</v>
      </c>
      <c r="C464" t="s">
        <v>1327</v>
      </c>
    </row>
    <row r="465" spans="1:3" x14ac:dyDescent="0.35">
      <c r="A465" t="s">
        <v>1328</v>
      </c>
      <c r="B465" t="s">
        <v>1329</v>
      </c>
      <c r="C465" t="s">
        <v>1330</v>
      </c>
    </row>
    <row r="466" spans="1:3" x14ac:dyDescent="0.35">
      <c r="A466" t="s">
        <v>1331</v>
      </c>
      <c r="B466" t="s">
        <v>1332</v>
      </c>
      <c r="C466" t="s">
        <v>1333</v>
      </c>
    </row>
    <row r="467" spans="1:3" x14ac:dyDescent="0.35">
      <c r="A467" t="s">
        <v>1334</v>
      </c>
      <c r="B467" t="s">
        <v>1335</v>
      </c>
      <c r="C467" t="s">
        <v>1336</v>
      </c>
    </row>
    <row r="468" spans="1:3" x14ac:dyDescent="0.35">
      <c r="A468" t="s">
        <v>1337</v>
      </c>
      <c r="B468" t="s">
        <v>1338</v>
      </c>
      <c r="C468" t="s">
        <v>1339</v>
      </c>
    </row>
    <row r="469" spans="1:3" x14ac:dyDescent="0.35">
      <c r="A469" t="s">
        <v>1340</v>
      </c>
      <c r="B469">
        <v>5495189553</v>
      </c>
      <c r="C469" t="s">
        <v>1341</v>
      </c>
    </row>
    <row r="470" spans="1:3" x14ac:dyDescent="0.35">
      <c r="A470" t="s">
        <v>1342</v>
      </c>
      <c r="B470" t="s">
        <v>1343</v>
      </c>
      <c r="C470" t="s">
        <v>1344</v>
      </c>
    </row>
    <row r="471" spans="1:3" x14ac:dyDescent="0.35">
      <c r="A471" t="s">
        <v>1345</v>
      </c>
      <c r="B471" t="s">
        <v>1346</v>
      </c>
      <c r="C471" t="s">
        <v>74</v>
      </c>
    </row>
    <row r="472" spans="1:3" x14ac:dyDescent="0.35">
      <c r="A472" t="s">
        <v>1347</v>
      </c>
      <c r="B472" t="s">
        <v>1348</v>
      </c>
      <c r="C472" t="s">
        <v>1349</v>
      </c>
    </row>
    <row r="473" spans="1:3" x14ac:dyDescent="0.35">
      <c r="A473" t="s">
        <v>1350</v>
      </c>
      <c r="B473" t="s">
        <v>1351</v>
      </c>
      <c r="C473" t="s">
        <v>144</v>
      </c>
    </row>
    <row r="474" spans="1:3" x14ac:dyDescent="0.35">
      <c r="A474" t="s">
        <v>1352</v>
      </c>
      <c r="B474" t="s">
        <v>1353</v>
      </c>
      <c r="C474" t="s">
        <v>1354</v>
      </c>
    </row>
    <row r="475" spans="1:3" x14ac:dyDescent="0.35">
      <c r="A475" t="s">
        <v>1355</v>
      </c>
      <c r="B475" t="s">
        <v>1356</v>
      </c>
      <c r="C475" t="s">
        <v>1357</v>
      </c>
    </row>
    <row r="476" spans="1:3" x14ac:dyDescent="0.35">
      <c r="A476" t="s">
        <v>1358</v>
      </c>
      <c r="B476">
        <v>4249560697</v>
      </c>
      <c r="C476" t="s">
        <v>1359</v>
      </c>
    </row>
    <row r="477" spans="1:3" x14ac:dyDescent="0.35">
      <c r="A477" t="s">
        <v>1360</v>
      </c>
      <c r="B477" t="s">
        <v>1361</v>
      </c>
      <c r="C477" t="s">
        <v>1362</v>
      </c>
    </row>
    <row r="478" spans="1:3" x14ac:dyDescent="0.35">
      <c r="A478" t="s">
        <v>1363</v>
      </c>
      <c r="B478" t="s">
        <v>1364</v>
      </c>
      <c r="C478" t="s">
        <v>1365</v>
      </c>
    </row>
    <row r="479" spans="1:3" x14ac:dyDescent="0.35">
      <c r="A479" t="s">
        <v>1366</v>
      </c>
      <c r="B479">
        <v>5673683249</v>
      </c>
      <c r="C479" t="s">
        <v>1367</v>
      </c>
    </row>
    <row r="480" spans="1:3" x14ac:dyDescent="0.35">
      <c r="A480" t="s">
        <v>1368</v>
      </c>
      <c r="B480" t="s">
        <v>1369</v>
      </c>
      <c r="C480" t="s">
        <v>1370</v>
      </c>
    </row>
    <row r="481" spans="1:3" x14ac:dyDescent="0.35">
      <c r="A481" t="s">
        <v>1371</v>
      </c>
      <c r="B481" t="s">
        <v>1372</v>
      </c>
      <c r="C481" t="s">
        <v>1373</v>
      </c>
    </row>
    <row r="482" spans="1:3" x14ac:dyDescent="0.35">
      <c r="A482" t="s">
        <v>1374</v>
      </c>
      <c r="B482" t="s">
        <v>1375</v>
      </c>
      <c r="C482" t="s">
        <v>1376</v>
      </c>
    </row>
    <row r="483" spans="1:3" x14ac:dyDescent="0.35">
      <c r="A483" t="s">
        <v>1377</v>
      </c>
      <c r="B483" t="s">
        <v>1378</v>
      </c>
      <c r="C483" t="s">
        <v>1379</v>
      </c>
    </row>
    <row r="484" spans="1:3" x14ac:dyDescent="0.35">
      <c r="A484" t="s">
        <v>1380</v>
      </c>
      <c r="B484" t="s">
        <v>1381</v>
      </c>
      <c r="C484" t="s">
        <v>1382</v>
      </c>
    </row>
    <row r="485" spans="1:3" x14ac:dyDescent="0.35">
      <c r="A485" t="s">
        <v>1383</v>
      </c>
      <c r="B485" t="s">
        <v>1384</v>
      </c>
      <c r="C485" t="s">
        <v>1385</v>
      </c>
    </row>
    <row r="486" spans="1:3" x14ac:dyDescent="0.35">
      <c r="A486" t="s">
        <v>1386</v>
      </c>
      <c r="B486" t="s">
        <v>1387</v>
      </c>
      <c r="C486" t="s">
        <v>1388</v>
      </c>
    </row>
    <row r="487" spans="1:3" x14ac:dyDescent="0.35">
      <c r="A487" t="s">
        <v>1389</v>
      </c>
      <c r="B487" t="s">
        <v>1390</v>
      </c>
      <c r="C487" t="s">
        <v>1391</v>
      </c>
    </row>
    <row r="488" spans="1:3" x14ac:dyDescent="0.35">
      <c r="A488" t="s">
        <v>1392</v>
      </c>
      <c r="B488" t="s">
        <v>1393</v>
      </c>
      <c r="C488" t="s">
        <v>1394</v>
      </c>
    </row>
    <row r="489" spans="1:3" x14ac:dyDescent="0.35">
      <c r="A489" t="s">
        <v>1395</v>
      </c>
      <c r="B489" t="s">
        <v>1396</v>
      </c>
      <c r="C489" t="s">
        <v>1397</v>
      </c>
    </row>
    <row r="490" spans="1:3" x14ac:dyDescent="0.35">
      <c r="A490" t="s">
        <v>1398</v>
      </c>
      <c r="B490" t="s">
        <v>1399</v>
      </c>
      <c r="C490" t="s">
        <v>1400</v>
      </c>
    </row>
    <row r="491" spans="1:3" x14ac:dyDescent="0.35">
      <c r="A491" t="s">
        <v>1401</v>
      </c>
      <c r="B491" t="s">
        <v>1402</v>
      </c>
      <c r="C491" t="s">
        <v>1403</v>
      </c>
    </row>
    <row r="492" spans="1:3" x14ac:dyDescent="0.35">
      <c r="A492" t="s">
        <v>1404</v>
      </c>
      <c r="B492" t="s">
        <v>1405</v>
      </c>
      <c r="C492" t="s">
        <v>453</v>
      </c>
    </row>
    <row r="493" spans="1:3" x14ac:dyDescent="0.35">
      <c r="A493" t="s">
        <v>1406</v>
      </c>
      <c r="B493" t="s">
        <v>1407</v>
      </c>
      <c r="C493" t="s">
        <v>1408</v>
      </c>
    </row>
    <row r="494" spans="1:3" x14ac:dyDescent="0.35">
      <c r="A494" t="s">
        <v>1409</v>
      </c>
      <c r="B494" t="s">
        <v>1410</v>
      </c>
      <c r="C494" t="s">
        <v>1411</v>
      </c>
    </row>
    <row r="495" spans="1:3" x14ac:dyDescent="0.35">
      <c r="A495" t="s">
        <v>878</v>
      </c>
      <c r="B495" t="s">
        <v>1412</v>
      </c>
      <c r="C495" t="s">
        <v>1413</v>
      </c>
    </row>
    <row r="496" spans="1:3" x14ac:dyDescent="0.35">
      <c r="A496" t="s">
        <v>1414</v>
      </c>
      <c r="B496" t="s">
        <v>1415</v>
      </c>
      <c r="C496" t="s">
        <v>1416</v>
      </c>
    </row>
    <row r="497" spans="1:3" x14ac:dyDescent="0.35">
      <c r="A497" t="s">
        <v>1417</v>
      </c>
      <c r="B497">
        <f>1-830-341-2134</f>
        <v>-3304</v>
      </c>
      <c r="C497" t="s">
        <v>859</v>
      </c>
    </row>
    <row r="498" spans="1:3" x14ac:dyDescent="0.35">
      <c r="A498" t="s">
        <v>1418</v>
      </c>
      <c r="B498" t="s">
        <v>1419</v>
      </c>
      <c r="C498" t="s">
        <v>1420</v>
      </c>
    </row>
    <row r="499" spans="1:3" x14ac:dyDescent="0.35">
      <c r="A499" t="s">
        <v>1421</v>
      </c>
      <c r="B499" t="s">
        <v>1422</v>
      </c>
      <c r="C499" t="s">
        <v>1423</v>
      </c>
    </row>
    <row r="500" spans="1:3" x14ac:dyDescent="0.35">
      <c r="A500" t="s">
        <v>1424</v>
      </c>
      <c r="B500" t="s">
        <v>1425</v>
      </c>
      <c r="C500" t="s">
        <v>1426</v>
      </c>
    </row>
    <row r="501" spans="1:3" x14ac:dyDescent="0.35">
      <c r="A501" t="s">
        <v>1427</v>
      </c>
      <c r="B501" t="s">
        <v>1428</v>
      </c>
      <c r="C501" t="s">
        <v>1429</v>
      </c>
    </row>
    <row r="502" spans="1:3" x14ac:dyDescent="0.35">
      <c r="A502" t="s">
        <v>1430</v>
      </c>
      <c r="B502" t="s">
        <v>1431</v>
      </c>
      <c r="C502" t="s">
        <v>1432</v>
      </c>
    </row>
    <row r="503" spans="1:3" x14ac:dyDescent="0.35">
      <c r="A503" t="s">
        <v>1433</v>
      </c>
      <c r="B503" t="s">
        <v>1434</v>
      </c>
      <c r="C503" t="s">
        <v>1435</v>
      </c>
    </row>
    <row r="504" spans="1:3" x14ac:dyDescent="0.35">
      <c r="A504" t="s">
        <v>1436</v>
      </c>
      <c r="B504" t="s">
        <v>1437</v>
      </c>
      <c r="C504" t="s">
        <v>1438</v>
      </c>
    </row>
    <row r="505" spans="1:3" x14ac:dyDescent="0.35">
      <c r="A505" t="s">
        <v>307</v>
      </c>
      <c r="B505" t="s">
        <v>1439</v>
      </c>
      <c r="C505" t="s">
        <v>1440</v>
      </c>
    </row>
    <row r="506" spans="1:3" x14ac:dyDescent="0.35">
      <c r="A506" t="s">
        <v>1441</v>
      </c>
      <c r="B506">
        <f>1-840-847-8050</f>
        <v>-9736</v>
      </c>
      <c r="C506" t="s">
        <v>1442</v>
      </c>
    </row>
    <row r="507" spans="1:3" x14ac:dyDescent="0.35">
      <c r="A507" t="s">
        <v>1443</v>
      </c>
      <c r="B507" t="s">
        <v>1444</v>
      </c>
      <c r="C507" t="s">
        <v>1445</v>
      </c>
    </row>
    <row r="508" spans="1:3" x14ac:dyDescent="0.35">
      <c r="A508" t="s">
        <v>1446</v>
      </c>
      <c r="B508" t="s">
        <v>1447</v>
      </c>
      <c r="C508" t="s">
        <v>1448</v>
      </c>
    </row>
    <row r="509" spans="1:3" x14ac:dyDescent="0.35">
      <c r="A509" t="s">
        <v>1449</v>
      </c>
      <c r="B509" t="s">
        <v>1450</v>
      </c>
      <c r="C509" t="s">
        <v>1451</v>
      </c>
    </row>
    <row r="510" spans="1:3" x14ac:dyDescent="0.35">
      <c r="A510" t="s">
        <v>1452</v>
      </c>
      <c r="B510" t="s">
        <v>1453</v>
      </c>
      <c r="C510" t="s">
        <v>1454</v>
      </c>
    </row>
    <row r="511" spans="1:3" x14ac:dyDescent="0.35">
      <c r="A511" t="s">
        <v>1455</v>
      </c>
      <c r="B511" t="s">
        <v>1456</v>
      </c>
      <c r="C511" t="s">
        <v>1457</v>
      </c>
    </row>
    <row r="512" spans="1:3" x14ac:dyDescent="0.35">
      <c r="A512" t="s">
        <v>1458</v>
      </c>
      <c r="B512">
        <f>1-233-631-9867</f>
        <v>-10730</v>
      </c>
      <c r="C512" t="s">
        <v>1459</v>
      </c>
    </row>
    <row r="513" spans="1:3" x14ac:dyDescent="0.35">
      <c r="A513" t="s">
        <v>1460</v>
      </c>
      <c r="B513" t="s">
        <v>1461</v>
      </c>
      <c r="C513" t="s">
        <v>1462</v>
      </c>
    </row>
    <row r="514" spans="1:3" x14ac:dyDescent="0.35">
      <c r="A514" t="s">
        <v>1463</v>
      </c>
      <c r="B514" t="s">
        <v>1464</v>
      </c>
      <c r="C514" t="s">
        <v>1465</v>
      </c>
    </row>
    <row r="515" spans="1:3" x14ac:dyDescent="0.35">
      <c r="A515" t="s">
        <v>1466</v>
      </c>
      <c r="B515" t="s">
        <v>1467</v>
      </c>
      <c r="C515" t="s">
        <v>1468</v>
      </c>
    </row>
    <row r="516" spans="1:3" x14ac:dyDescent="0.35">
      <c r="A516" t="s">
        <v>1469</v>
      </c>
      <c r="B516">
        <v>5315495324</v>
      </c>
      <c r="C516" t="s">
        <v>1470</v>
      </c>
    </row>
    <row r="517" spans="1:3" x14ac:dyDescent="0.35">
      <c r="A517" t="s">
        <v>1471</v>
      </c>
      <c r="B517" t="s">
        <v>1472</v>
      </c>
      <c r="C517" t="s">
        <v>1473</v>
      </c>
    </row>
    <row r="518" spans="1:3" x14ac:dyDescent="0.35">
      <c r="A518" t="s">
        <v>1474</v>
      </c>
      <c r="B518" t="s">
        <v>1475</v>
      </c>
      <c r="C518" t="s">
        <v>1476</v>
      </c>
    </row>
    <row r="519" spans="1:3" x14ac:dyDescent="0.35">
      <c r="A519" t="s">
        <v>1477</v>
      </c>
      <c r="B519" t="s">
        <v>1478</v>
      </c>
      <c r="C519" t="s">
        <v>1479</v>
      </c>
    </row>
    <row r="520" spans="1:3" x14ac:dyDescent="0.35">
      <c r="A520" t="s">
        <v>1480</v>
      </c>
      <c r="B520" t="s">
        <v>1481</v>
      </c>
      <c r="C520" t="s">
        <v>1482</v>
      </c>
    </row>
    <row r="521" spans="1:3" x14ac:dyDescent="0.35">
      <c r="A521" t="s">
        <v>1483</v>
      </c>
      <c r="B521" t="s">
        <v>1484</v>
      </c>
      <c r="C521" t="s">
        <v>1485</v>
      </c>
    </row>
    <row r="522" spans="1:3" x14ac:dyDescent="0.35">
      <c r="A522" t="s">
        <v>1486</v>
      </c>
      <c r="B522" t="s">
        <v>1487</v>
      </c>
      <c r="C522" t="s">
        <v>1488</v>
      </c>
    </row>
    <row r="523" spans="1:3" x14ac:dyDescent="0.35">
      <c r="A523" t="s">
        <v>1489</v>
      </c>
      <c r="B523" t="s">
        <v>1490</v>
      </c>
      <c r="C523" t="s">
        <v>1491</v>
      </c>
    </row>
    <row r="524" spans="1:3" x14ac:dyDescent="0.35">
      <c r="A524" t="s">
        <v>1492</v>
      </c>
      <c r="B524" t="s">
        <v>1493</v>
      </c>
      <c r="C524" t="s">
        <v>1494</v>
      </c>
    </row>
    <row r="525" spans="1:3" x14ac:dyDescent="0.35">
      <c r="A525" t="s">
        <v>1495</v>
      </c>
      <c r="B525" t="s">
        <v>1496</v>
      </c>
      <c r="C525" t="s">
        <v>1497</v>
      </c>
    </row>
    <row r="526" spans="1:3" x14ac:dyDescent="0.35">
      <c r="A526" t="s">
        <v>1498</v>
      </c>
      <c r="B526" t="s">
        <v>1499</v>
      </c>
      <c r="C526" t="s">
        <v>1500</v>
      </c>
    </row>
    <row r="527" spans="1:3" x14ac:dyDescent="0.35">
      <c r="A527" t="s">
        <v>1501</v>
      </c>
      <c r="B527" t="s">
        <v>1502</v>
      </c>
      <c r="C527" t="s">
        <v>1503</v>
      </c>
    </row>
    <row r="528" spans="1:3" x14ac:dyDescent="0.35">
      <c r="A528" t="s">
        <v>1504</v>
      </c>
      <c r="B528" t="s">
        <v>1505</v>
      </c>
      <c r="C528" t="s">
        <v>1506</v>
      </c>
    </row>
    <row r="529" spans="1:3" x14ac:dyDescent="0.35">
      <c r="A529" t="s">
        <v>1507</v>
      </c>
      <c r="B529" t="s">
        <v>1508</v>
      </c>
      <c r="C529" t="s">
        <v>1509</v>
      </c>
    </row>
    <row r="530" spans="1:3" x14ac:dyDescent="0.35">
      <c r="A530" t="s">
        <v>1510</v>
      </c>
      <c r="B530" t="s">
        <v>1511</v>
      </c>
      <c r="C530" t="s">
        <v>1512</v>
      </c>
    </row>
    <row r="531" spans="1:3" x14ac:dyDescent="0.35">
      <c r="A531" t="s">
        <v>1513</v>
      </c>
      <c r="B531" t="s">
        <v>1514</v>
      </c>
      <c r="C531" t="s">
        <v>1515</v>
      </c>
    </row>
    <row r="532" spans="1:3" x14ac:dyDescent="0.35">
      <c r="A532" t="s">
        <v>1516</v>
      </c>
      <c r="B532" t="s">
        <v>1517</v>
      </c>
      <c r="C532" t="s">
        <v>1518</v>
      </c>
    </row>
    <row r="533" spans="1:3" x14ac:dyDescent="0.35">
      <c r="A533" t="s">
        <v>1519</v>
      </c>
      <c r="B533" t="s">
        <v>1520</v>
      </c>
      <c r="C533" t="s">
        <v>1521</v>
      </c>
    </row>
    <row r="534" spans="1:3" x14ac:dyDescent="0.35">
      <c r="A534" t="s">
        <v>1522</v>
      </c>
      <c r="B534" t="s">
        <v>1523</v>
      </c>
      <c r="C534" t="s">
        <v>1524</v>
      </c>
    </row>
    <row r="535" spans="1:3" x14ac:dyDescent="0.35">
      <c r="A535" t="s">
        <v>1525</v>
      </c>
      <c r="B535" t="s">
        <v>1526</v>
      </c>
      <c r="C535" t="s">
        <v>1527</v>
      </c>
    </row>
    <row r="536" spans="1:3" x14ac:dyDescent="0.35">
      <c r="A536" t="s">
        <v>1528</v>
      </c>
      <c r="B536" t="s">
        <v>1529</v>
      </c>
      <c r="C536" t="s">
        <v>1530</v>
      </c>
    </row>
    <row r="537" spans="1:3" x14ac:dyDescent="0.35">
      <c r="A537" t="s">
        <v>1531</v>
      </c>
      <c r="B537" t="s">
        <v>1532</v>
      </c>
      <c r="C537" t="s">
        <v>453</v>
      </c>
    </row>
    <row r="538" spans="1:3" x14ac:dyDescent="0.35">
      <c r="A538" t="s">
        <v>28</v>
      </c>
      <c r="B538" t="s">
        <v>1533</v>
      </c>
      <c r="C538" t="s">
        <v>1534</v>
      </c>
    </row>
    <row r="539" spans="1:3" x14ac:dyDescent="0.35">
      <c r="A539" t="s">
        <v>1510</v>
      </c>
      <c r="B539" t="s">
        <v>1535</v>
      </c>
      <c r="C539" t="s">
        <v>1536</v>
      </c>
    </row>
    <row r="540" spans="1:3" x14ac:dyDescent="0.35">
      <c r="A540" t="s">
        <v>1537</v>
      </c>
      <c r="B540" t="s">
        <v>1538</v>
      </c>
      <c r="C540" t="s">
        <v>1539</v>
      </c>
    </row>
    <row r="541" spans="1:3" x14ac:dyDescent="0.35">
      <c r="A541" t="s">
        <v>1540</v>
      </c>
      <c r="B541" t="s">
        <v>1541</v>
      </c>
      <c r="C541" t="s">
        <v>1542</v>
      </c>
    </row>
    <row r="542" spans="1:3" x14ac:dyDescent="0.35">
      <c r="A542" t="s">
        <v>1543</v>
      </c>
      <c r="B542" t="s">
        <v>1544</v>
      </c>
      <c r="C542" t="s">
        <v>1545</v>
      </c>
    </row>
    <row r="543" spans="1:3" x14ac:dyDescent="0.35">
      <c r="A543" t="s">
        <v>1546</v>
      </c>
      <c r="B543">
        <v>5138867348</v>
      </c>
      <c r="C543" t="s">
        <v>1547</v>
      </c>
    </row>
    <row r="544" spans="1:3" x14ac:dyDescent="0.35">
      <c r="A544" t="s">
        <v>1548</v>
      </c>
      <c r="B544" t="s">
        <v>1549</v>
      </c>
      <c r="C544" t="s">
        <v>1550</v>
      </c>
    </row>
    <row r="545" spans="1:3" x14ac:dyDescent="0.35">
      <c r="A545" t="s">
        <v>1551</v>
      </c>
      <c r="B545">
        <f>1-469-717-257</f>
        <v>-1442</v>
      </c>
      <c r="C545" t="s">
        <v>1552</v>
      </c>
    </row>
    <row r="546" spans="1:3" x14ac:dyDescent="0.35">
      <c r="A546" t="s">
        <v>1553</v>
      </c>
      <c r="B546" t="s">
        <v>1554</v>
      </c>
      <c r="C546" t="s">
        <v>1555</v>
      </c>
    </row>
    <row r="547" spans="1:3" x14ac:dyDescent="0.35">
      <c r="A547" t="s">
        <v>1556</v>
      </c>
      <c r="B547" t="s">
        <v>1557</v>
      </c>
      <c r="C547" t="s">
        <v>1558</v>
      </c>
    </row>
    <row r="548" spans="1:3" x14ac:dyDescent="0.35">
      <c r="A548" t="s">
        <v>1559</v>
      </c>
      <c r="B548" t="s">
        <v>1560</v>
      </c>
      <c r="C548" t="s">
        <v>1561</v>
      </c>
    </row>
    <row r="549" spans="1:3" x14ac:dyDescent="0.35">
      <c r="A549" t="s">
        <v>1562</v>
      </c>
      <c r="B549">
        <v>9806440069</v>
      </c>
      <c r="C549" t="s">
        <v>1563</v>
      </c>
    </row>
    <row r="550" spans="1:3" x14ac:dyDescent="0.35">
      <c r="A550" t="s">
        <v>1564</v>
      </c>
      <c r="B550" t="s">
        <v>1565</v>
      </c>
      <c r="C550" t="s">
        <v>1566</v>
      </c>
    </row>
    <row r="551" spans="1:3" x14ac:dyDescent="0.35">
      <c r="A551" t="s">
        <v>1567</v>
      </c>
      <c r="B551">
        <v>9812905409</v>
      </c>
      <c r="C551" t="s">
        <v>1568</v>
      </c>
    </row>
    <row r="552" spans="1:3" x14ac:dyDescent="0.35">
      <c r="A552" t="s">
        <v>1569</v>
      </c>
      <c r="B552" t="s">
        <v>1570</v>
      </c>
      <c r="C552" t="s">
        <v>1571</v>
      </c>
    </row>
    <row r="553" spans="1:3" x14ac:dyDescent="0.35">
      <c r="A553" t="s">
        <v>1572</v>
      </c>
      <c r="B553" t="s">
        <v>1573</v>
      </c>
      <c r="C553" t="s">
        <v>1574</v>
      </c>
    </row>
    <row r="554" spans="1:3" x14ac:dyDescent="0.35">
      <c r="A554" t="s">
        <v>1575</v>
      </c>
      <c r="B554" t="s">
        <v>1576</v>
      </c>
      <c r="C554" t="s">
        <v>1577</v>
      </c>
    </row>
    <row r="555" spans="1:3" x14ac:dyDescent="0.35">
      <c r="A555" t="s">
        <v>1578</v>
      </c>
      <c r="B555">
        <v>2084942224</v>
      </c>
      <c r="C555" t="s">
        <v>1579</v>
      </c>
    </row>
    <row r="556" spans="1:3" x14ac:dyDescent="0.35">
      <c r="A556" t="s">
        <v>1580</v>
      </c>
      <c r="B556" t="s">
        <v>1581</v>
      </c>
      <c r="C556" t="s">
        <v>839</v>
      </c>
    </row>
    <row r="557" spans="1:3" x14ac:dyDescent="0.35">
      <c r="A557" t="s">
        <v>1582</v>
      </c>
      <c r="B557" t="s">
        <v>1583</v>
      </c>
      <c r="C557" t="s">
        <v>1584</v>
      </c>
    </row>
    <row r="558" spans="1:3" x14ac:dyDescent="0.35">
      <c r="A558" t="s">
        <v>1585</v>
      </c>
      <c r="B558" t="s">
        <v>1586</v>
      </c>
      <c r="C558" t="s">
        <v>1587</v>
      </c>
    </row>
    <row r="559" spans="1:3" x14ac:dyDescent="0.35">
      <c r="A559" t="s">
        <v>1588</v>
      </c>
      <c r="B559" t="s">
        <v>1589</v>
      </c>
      <c r="C559" t="s">
        <v>1590</v>
      </c>
    </row>
    <row r="560" spans="1:3" x14ac:dyDescent="0.35">
      <c r="A560" t="s">
        <v>1591</v>
      </c>
      <c r="B560" t="s">
        <v>1592</v>
      </c>
      <c r="C560" t="s">
        <v>1593</v>
      </c>
    </row>
    <row r="561" spans="1:3" x14ac:dyDescent="0.35">
      <c r="A561" t="s">
        <v>1594</v>
      </c>
      <c r="B561" t="s">
        <v>1595</v>
      </c>
      <c r="C561" t="s">
        <v>1596</v>
      </c>
    </row>
    <row r="562" spans="1:3" x14ac:dyDescent="0.35">
      <c r="A562" t="s">
        <v>1597</v>
      </c>
      <c r="B562" t="s">
        <v>1598</v>
      </c>
      <c r="C562" t="s">
        <v>1599</v>
      </c>
    </row>
    <row r="563" spans="1:3" x14ac:dyDescent="0.35">
      <c r="A563" t="s">
        <v>1600</v>
      </c>
      <c r="B563">
        <f>1-368-652-1293</f>
        <v>-2312</v>
      </c>
      <c r="C563" t="s">
        <v>1601</v>
      </c>
    </row>
    <row r="564" spans="1:3" x14ac:dyDescent="0.35">
      <c r="A564" t="s">
        <v>1602</v>
      </c>
      <c r="B564" t="s">
        <v>1603</v>
      </c>
      <c r="C564" t="s">
        <v>1604</v>
      </c>
    </row>
    <row r="565" spans="1:3" x14ac:dyDescent="0.35">
      <c r="A565" t="s">
        <v>1605</v>
      </c>
      <c r="B565" t="s">
        <v>1606</v>
      </c>
      <c r="C565" t="s">
        <v>1607</v>
      </c>
    </row>
    <row r="566" spans="1:3" x14ac:dyDescent="0.35">
      <c r="A566" t="s">
        <v>1608</v>
      </c>
      <c r="B566">
        <v>6214697443</v>
      </c>
      <c r="C566" t="s">
        <v>1609</v>
      </c>
    </row>
    <row r="567" spans="1:3" x14ac:dyDescent="0.35">
      <c r="A567" t="s">
        <v>1610</v>
      </c>
      <c r="B567" t="s">
        <v>1611</v>
      </c>
      <c r="C567" t="s">
        <v>1612</v>
      </c>
    </row>
    <row r="568" spans="1:3" x14ac:dyDescent="0.35">
      <c r="A568" t="s">
        <v>1613</v>
      </c>
      <c r="B568">
        <v>3268931966</v>
      </c>
      <c r="C568" t="s">
        <v>1614</v>
      </c>
    </row>
    <row r="569" spans="1:3" x14ac:dyDescent="0.35">
      <c r="A569" t="s">
        <v>1615</v>
      </c>
      <c r="B569" t="s">
        <v>1616</v>
      </c>
      <c r="C569" t="s">
        <v>1617</v>
      </c>
    </row>
    <row r="570" spans="1:3" x14ac:dyDescent="0.35">
      <c r="A570" t="s">
        <v>1618</v>
      </c>
      <c r="B570" t="s">
        <v>1619</v>
      </c>
      <c r="C570" t="s">
        <v>1620</v>
      </c>
    </row>
    <row r="571" spans="1:3" x14ac:dyDescent="0.35">
      <c r="A571" t="s">
        <v>1621</v>
      </c>
      <c r="B571" t="s">
        <v>1622</v>
      </c>
      <c r="C571" t="s">
        <v>1623</v>
      </c>
    </row>
    <row r="572" spans="1:3" x14ac:dyDescent="0.35">
      <c r="A572" t="s">
        <v>1624</v>
      </c>
      <c r="B572">
        <f>1-697-767-7337</f>
        <v>-8800</v>
      </c>
      <c r="C572" t="s">
        <v>1625</v>
      </c>
    </row>
    <row r="573" spans="1:3" x14ac:dyDescent="0.35">
      <c r="A573" t="s">
        <v>1626</v>
      </c>
      <c r="B573" t="s">
        <v>1627</v>
      </c>
      <c r="C573" t="s">
        <v>1628</v>
      </c>
    </row>
    <row r="574" spans="1:3" x14ac:dyDescent="0.35">
      <c r="A574" t="s">
        <v>1629</v>
      </c>
      <c r="B574" t="s">
        <v>1630</v>
      </c>
      <c r="C574" t="s">
        <v>1631</v>
      </c>
    </row>
    <row r="575" spans="1:3" x14ac:dyDescent="0.35">
      <c r="A575" t="s">
        <v>1632</v>
      </c>
      <c r="B575" t="s">
        <v>1633</v>
      </c>
      <c r="C575" t="s">
        <v>1634</v>
      </c>
    </row>
    <row r="576" spans="1:3" x14ac:dyDescent="0.35">
      <c r="A576" t="s">
        <v>1635</v>
      </c>
      <c r="B576" t="s">
        <v>1636</v>
      </c>
      <c r="C576" t="s">
        <v>1637</v>
      </c>
    </row>
    <row r="577" spans="1:3" x14ac:dyDescent="0.35">
      <c r="A577" t="s">
        <v>1638</v>
      </c>
      <c r="B577" t="s">
        <v>1639</v>
      </c>
      <c r="C577" t="s">
        <v>1640</v>
      </c>
    </row>
    <row r="578" spans="1:3" x14ac:dyDescent="0.35">
      <c r="A578" t="s">
        <v>1641</v>
      </c>
      <c r="B578" t="s">
        <v>1642</v>
      </c>
      <c r="C578" t="s">
        <v>1643</v>
      </c>
    </row>
    <row r="579" spans="1:3" x14ac:dyDescent="0.35">
      <c r="A579" t="s">
        <v>1644</v>
      </c>
      <c r="B579" t="s">
        <v>1645</v>
      </c>
      <c r="C579" t="s">
        <v>1646</v>
      </c>
    </row>
    <row r="580" spans="1:3" x14ac:dyDescent="0.35">
      <c r="A580" t="s">
        <v>1647</v>
      </c>
      <c r="B580" t="s">
        <v>1648</v>
      </c>
      <c r="C580" t="s">
        <v>1649</v>
      </c>
    </row>
    <row r="581" spans="1:3" x14ac:dyDescent="0.35">
      <c r="A581" t="s">
        <v>1650</v>
      </c>
      <c r="B581" t="s">
        <v>1651</v>
      </c>
      <c r="C581" t="s">
        <v>1652</v>
      </c>
    </row>
    <row r="582" spans="1:3" x14ac:dyDescent="0.35">
      <c r="A582" t="s">
        <v>1653</v>
      </c>
      <c r="B582" t="s">
        <v>1654</v>
      </c>
      <c r="C582" t="s">
        <v>1655</v>
      </c>
    </row>
    <row r="583" spans="1:3" x14ac:dyDescent="0.35">
      <c r="A583" t="s">
        <v>1656</v>
      </c>
      <c r="B583">
        <v>2578322820</v>
      </c>
      <c r="C583" t="s">
        <v>1657</v>
      </c>
    </row>
    <row r="584" spans="1:3" x14ac:dyDescent="0.35">
      <c r="A584" t="s">
        <v>1658</v>
      </c>
      <c r="B584" t="s">
        <v>1659</v>
      </c>
      <c r="C584" t="s">
        <v>1660</v>
      </c>
    </row>
    <row r="585" spans="1:3" x14ac:dyDescent="0.35">
      <c r="A585" t="s">
        <v>1661</v>
      </c>
      <c r="B585" t="s">
        <v>1662</v>
      </c>
      <c r="C585" t="s">
        <v>1663</v>
      </c>
    </row>
    <row r="586" spans="1:3" x14ac:dyDescent="0.35">
      <c r="A586" t="s">
        <v>1664</v>
      </c>
      <c r="B586" t="s">
        <v>1665</v>
      </c>
      <c r="C586" t="s">
        <v>1666</v>
      </c>
    </row>
    <row r="587" spans="1:3" x14ac:dyDescent="0.35">
      <c r="A587" t="s">
        <v>1667</v>
      </c>
      <c r="B587" t="s">
        <v>1668</v>
      </c>
      <c r="C587" t="s">
        <v>1669</v>
      </c>
    </row>
    <row r="588" spans="1:3" x14ac:dyDescent="0.35">
      <c r="A588" t="s">
        <v>1670</v>
      </c>
      <c r="B588" t="s">
        <v>1671</v>
      </c>
      <c r="C588" t="s">
        <v>1672</v>
      </c>
    </row>
    <row r="589" spans="1:3" x14ac:dyDescent="0.35">
      <c r="A589" t="s">
        <v>1673</v>
      </c>
      <c r="B589">
        <v>4589988031</v>
      </c>
      <c r="C589" t="s">
        <v>1674</v>
      </c>
    </row>
    <row r="590" spans="1:3" x14ac:dyDescent="0.35">
      <c r="A590" t="s">
        <v>1675</v>
      </c>
      <c r="B590" t="s">
        <v>1676</v>
      </c>
      <c r="C590" t="s">
        <v>1677</v>
      </c>
    </row>
    <row r="591" spans="1:3" x14ac:dyDescent="0.35">
      <c r="A591" t="s">
        <v>1678</v>
      </c>
      <c r="B591" t="s">
        <v>1679</v>
      </c>
      <c r="C591" t="s">
        <v>1680</v>
      </c>
    </row>
    <row r="592" spans="1:3" x14ac:dyDescent="0.35">
      <c r="A592" t="s">
        <v>1681</v>
      </c>
      <c r="B592" t="s">
        <v>1682</v>
      </c>
      <c r="C592" t="s">
        <v>1683</v>
      </c>
    </row>
    <row r="593" spans="1:3" x14ac:dyDescent="0.35">
      <c r="A593" t="s">
        <v>1046</v>
      </c>
      <c r="B593" t="s">
        <v>1684</v>
      </c>
      <c r="C593" t="s">
        <v>1685</v>
      </c>
    </row>
    <row r="594" spans="1:3" x14ac:dyDescent="0.35">
      <c r="A594" t="s">
        <v>1686</v>
      </c>
      <c r="B594" t="s">
        <v>1687</v>
      </c>
      <c r="C594" t="s">
        <v>1688</v>
      </c>
    </row>
    <row r="595" spans="1:3" x14ac:dyDescent="0.35">
      <c r="A595" t="s">
        <v>1689</v>
      </c>
      <c r="B595" t="s">
        <v>1690</v>
      </c>
      <c r="C595" t="s">
        <v>1691</v>
      </c>
    </row>
    <row r="596" spans="1:3" x14ac:dyDescent="0.35">
      <c r="A596" t="s">
        <v>1692</v>
      </c>
      <c r="B596" t="s">
        <v>1693</v>
      </c>
      <c r="C596" t="s">
        <v>1694</v>
      </c>
    </row>
    <row r="597" spans="1:3" x14ac:dyDescent="0.35">
      <c r="A597" t="s">
        <v>1695</v>
      </c>
      <c r="B597" t="s">
        <v>1696</v>
      </c>
      <c r="C597" t="s">
        <v>1697</v>
      </c>
    </row>
    <row r="598" spans="1:3" x14ac:dyDescent="0.35">
      <c r="A598" t="s">
        <v>1698</v>
      </c>
      <c r="B598" t="s">
        <v>1699</v>
      </c>
      <c r="C598" t="s">
        <v>1700</v>
      </c>
    </row>
    <row r="599" spans="1:3" x14ac:dyDescent="0.35">
      <c r="A599" t="s">
        <v>1701</v>
      </c>
      <c r="B599" t="s">
        <v>1702</v>
      </c>
      <c r="C599" t="s">
        <v>1703</v>
      </c>
    </row>
    <row r="600" spans="1:3" x14ac:dyDescent="0.35">
      <c r="A600" t="s">
        <v>1704</v>
      </c>
      <c r="B600" t="s">
        <v>1705</v>
      </c>
      <c r="C600" t="s">
        <v>1706</v>
      </c>
    </row>
    <row r="601" spans="1:3" x14ac:dyDescent="0.35">
      <c r="A601" t="s">
        <v>1707</v>
      </c>
      <c r="B601" t="s">
        <v>1708</v>
      </c>
      <c r="C601" t="s">
        <v>1709</v>
      </c>
    </row>
    <row r="602" spans="1:3" x14ac:dyDescent="0.35">
      <c r="A602" t="s">
        <v>1710</v>
      </c>
      <c r="B602" t="s">
        <v>1711</v>
      </c>
      <c r="C602" t="s">
        <v>1712</v>
      </c>
    </row>
    <row r="603" spans="1:3" x14ac:dyDescent="0.35">
      <c r="A603" t="s">
        <v>1713</v>
      </c>
      <c r="B603">
        <v>2538891986</v>
      </c>
      <c r="C603" t="s">
        <v>1714</v>
      </c>
    </row>
    <row r="604" spans="1:3" x14ac:dyDescent="0.35">
      <c r="A604" t="s">
        <v>1715</v>
      </c>
      <c r="B604" t="s">
        <v>1716</v>
      </c>
      <c r="C604" t="s">
        <v>1717</v>
      </c>
    </row>
    <row r="605" spans="1:3" x14ac:dyDescent="0.35">
      <c r="A605" t="s">
        <v>1718</v>
      </c>
      <c r="B605" t="s">
        <v>1719</v>
      </c>
      <c r="C605" t="s">
        <v>1720</v>
      </c>
    </row>
    <row r="606" spans="1:3" x14ac:dyDescent="0.35">
      <c r="A606" t="s">
        <v>1721</v>
      </c>
      <c r="B606" t="s">
        <v>1722</v>
      </c>
      <c r="C606" t="s">
        <v>1723</v>
      </c>
    </row>
    <row r="607" spans="1:3" x14ac:dyDescent="0.35">
      <c r="A607" t="s">
        <v>1724</v>
      </c>
      <c r="B607" t="s">
        <v>1725</v>
      </c>
      <c r="C607" t="s">
        <v>1726</v>
      </c>
    </row>
    <row r="608" spans="1:3" x14ac:dyDescent="0.35">
      <c r="A608" t="s">
        <v>1727</v>
      </c>
      <c r="B608" t="s">
        <v>1728</v>
      </c>
      <c r="C608" t="s">
        <v>1729</v>
      </c>
    </row>
    <row r="609" spans="1:3" x14ac:dyDescent="0.35">
      <c r="A609" t="s">
        <v>1730</v>
      </c>
      <c r="B609" t="s">
        <v>1731</v>
      </c>
      <c r="C609" t="s">
        <v>1732</v>
      </c>
    </row>
    <row r="610" spans="1:3" x14ac:dyDescent="0.35">
      <c r="A610" t="s">
        <v>1733</v>
      </c>
      <c r="B610" t="s">
        <v>1734</v>
      </c>
      <c r="C610" t="s">
        <v>1735</v>
      </c>
    </row>
    <row r="611" spans="1:3" x14ac:dyDescent="0.35">
      <c r="A611" t="s">
        <v>1736</v>
      </c>
      <c r="B611">
        <v>5784350163</v>
      </c>
      <c r="C611" t="s">
        <v>1737</v>
      </c>
    </row>
    <row r="612" spans="1:3" x14ac:dyDescent="0.35">
      <c r="A612" t="s">
        <v>1738</v>
      </c>
      <c r="B612" t="s">
        <v>1739</v>
      </c>
      <c r="C612" t="s">
        <v>1740</v>
      </c>
    </row>
    <row r="613" spans="1:3" x14ac:dyDescent="0.35">
      <c r="A613" t="s">
        <v>1741</v>
      </c>
      <c r="B613" t="s">
        <v>1742</v>
      </c>
      <c r="C613" t="s">
        <v>1743</v>
      </c>
    </row>
    <row r="614" spans="1:3" x14ac:dyDescent="0.35">
      <c r="A614" t="s">
        <v>1744</v>
      </c>
      <c r="B614" t="s">
        <v>1745</v>
      </c>
      <c r="C614" t="s">
        <v>1746</v>
      </c>
    </row>
    <row r="615" spans="1:3" x14ac:dyDescent="0.35">
      <c r="A615" t="s">
        <v>1747</v>
      </c>
      <c r="B615">
        <f>1-568-586-4502</f>
        <v>-5655</v>
      </c>
      <c r="C615" t="s">
        <v>1748</v>
      </c>
    </row>
    <row r="616" spans="1:3" x14ac:dyDescent="0.35">
      <c r="A616" t="s">
        <v>1749</v>
      </c>
      <c r="B616" t="s">
        <v>1750</v>
      </c>
      <c r="C616" t="s">
        <v>1751</v>
      </c>
    </row>
    <row r="617" spans="1:3" x14ac:dyDescent="0.35">
      <c r="A617" t="s">
        <v>1752</v>
      </c>
      <c r="B617" t="s">
        <v>1753</v>
      </c>
      <c r="C617" t="s">
        <v>1754</v>
      </c>
    </row>
    <row r="618" spans="1:3" x14ac:dyDescent="0.35">
      <c r="A618" t="s">
        <v>1755</v>
      </c>
      <c r="B618" t="s">
        <v>1756</v>
      </c>
      <c r="C618" t="s">
        <v>1757</v>
      </c>
    </row>
    <row r="619" spans="1:3" x14ac:dyDescent="0.35">
      <c r="A619" t="s">
        <v>1758</v>
      </c>
      <c r="B619" t="s">
        <v>1759</v>
      </c>
      <c r="C619" t="s">
        <v>1760</v>
      </c>
    </row>
    <row r="620" spans="1:3" x14ac:dyDescent="0.35">
      <c r="A620" t="s">
        <v>1761</v>
      </c>
      <c r="B620" t="s">
        <v>1762</v>
      </c>
      <c r="C620" t="s">
        <v>1763</v>
      </c>
    </row>
    <row r="621" spans="1:3" x14ac:dyDescent="0.35">
      <c r="A621" t="s">
        <v>1764</v>
      </c>
      <c r="B621" t="s">
        <v>1765</v>
      </c>
      <c r="C621" t="s">
        <v>1766</v>
      </c>
    </row>
    <row r="622" spans="1:3" x14ac:dyDescent="0.35">
      <c r="A622" t="s">
        <v>1767</v>
      </c>
      <c r="B622" t="s">
        <v>1768</v>
      </c>
      <c r="C622" t="s">
        <v>1769</v>
      </c>
    </row>
    <row r="623" spans="1:3" x14ac:dyDescent="0.35">
      <c r="A623" t="s">
        <v>1770</v>
      </c>
      <c r="B623" t="s">
        <v>1771</v>
      </c>
      <c r="C623" t="s">
        <v>1772</v>
      </c>
    </row>
    <row r="624" spans="1:3" x14ac:dyDescent="0.35">
      <c r="A624" t="s">
        <v>1773</v>
      </c>
      <c r="B624" t="s">
        <v>1774</v>
      </c>
      <c r="C624" t="s">
        <v>1775</v>
      </c>
    </row>
    <row r="625" spans="1:3" x14ac:dyDescent="0.35">
      <c r="A625" t="s">
        <v>1776</v>
      </c>
      <c r="B625" t="s">
        <v>1777</v>
      </c>
      <c r="C625" t="s">
        <v>1778</v>
      </c>
    </row>
    <row r="626" spans="1:3" x14ac:dyDescent="0.35">
      <c r="A626" t="s">
        <v>1779</v>
      </c>
      <c r="B626" t="s">
        <v>1780</v>
      </c>
      <c r="C626" t="s">
        <v>1781</v>
      </c>
    </row>
    <row r="627" spans="1:3" x14ac:dyDescent="0.35">
      <c r="A627" t="s">
        <v>1782</v>
      </c>
      <c r="B627">
        <v>2762067322</v>
      </c>
      <c r="C627" t="s">
        <v>1783</v>
      </c>
    </row>
    <row r="628" spans="1:3" x14ac:dyDescent="0.35">
      <c r="A628" t="s">
        <v>1784</v>
      </c>
      <c r="B628" t="s">
        <v>1785</v>
      </c>
      <c r="C628" t="s">
        <v>1786</v>
      </c>
    </row>
    <row r="629" spans="1:3" x14ac:dyDescent="0.35">
      <c r="A629" t="s">
        <v>1787</v>
      </c>
      <c r="B629" t="s">
        <v>1788</v>
      </c>
      <c r="C629" t="s">
        <v>1789</v>
      </c>
    </row>
    <row r="630" spans="1:3" x14ac:dyDescent="0.35">
      <c r="A630" t="s">
        <v>1790</v>
      </c>
      <c r="B630" t="s">
        <v>1791</v>
      </c>
      <c r="C630" t="s">
        <v>1792</v>
      </c>
    </row>
    <row r="631" spans="1:3" x14ac:dyDescent="0.35">
      <c r="A631" t="s">
        <v>1793</v>
      </c>
      <c r="B631" t="s">
        <v>1794</v>
      </c>
      <c r="C631" t="s">
        <v>1795</v>
      </c>
    </row>
    <row r="632" spans="1:3" x14ac:dyDescent="0.35">
      <c r="A632" t="s">
        <v>1796</v>
      </c>
      <c r="B632" t="s">
        <v>1797</v>
      </c>
      <c r="C632" t="s">
        <v>1798</v>
      </c>
    </row>
    <row r="633" spans="1:3" x14ac:dyDescent="0.35">
      <c r="A633" t="s">
        <v>1799</v>
      </c>
      <c r="B633">
        <v>8479012038</v>
      </c>
      <c r="C633" t="s">
        <v>1800</v>
      </c>
    </row>
    <row r="634" spans="1:3" x14ac:dyDescent="0.35">
      <c r="A634" t="s">
        <v>1801</v>
      </c>
      <c r="B634" t="s">
        <v>1802</v>
      </c>
      <c r="C634" t="s">
        <v>1803</v>
      </c>
    </row>
    <row r="635" spans="1:3" x14ac:dyDescent="0.35">
      <c r="A635" t="s">
        <v>1804</v>
      </c>
      <c r="B635" t="s">
        <v>1805</v>
      </c>
      <c r="C635" t="s">
        <v>1806</v>
      </c>
    </row>
    <row r="636" spans="1:3" x14ac:dyDescent="0.35">
      <c r="A636" t="s">
        <v>1807</v>
      </c>
      <c r="B636" t="s">
        <v>1808</v>
      </c>
      <c r="C636" t="s">
        <v>1809</v>
      </c>
    </row>
    <row r="637" spans="1:3" x14ac:dyDescent="0.35">
      <c r="A637" t="s">
        <v>1810</v>
      </c>
      <c r="B637" t="s">
        <v>1811</v>
      </c>
      <c r="C637" t="s">
        <v>1812</v>
      </c>
    </row>
    <row r="638" spans="1:3" x14ac:dyDescent="0.35">
      <c r="A638" t="s">
        <v>1813</v>
      </c>
      <c r="B638" t="s">
        <v>1814</v>
      </c>
      <c r="C638" t="s">
        <v>1815</v>
      </c>
    </row>
    <row r="639" spans="1:3" x14ac:dyDescent="0.35">
      <c r="A639" t="s">
        <v>1816</v>
      </c>
      <c r="B639" t="s">
        <v>1817</v>
      </c>
      <c r="C639" t="s">
        <v>1818</v>
      </c>
    </row>
    <row r="640" spans="1:3" x14ac:dyDescent="0.35">
      <c r="A640" t="s">
        <v>1819</v>
      </c>
      <c r="B640" t="s">
        <v>1820</v>
      </c>
      <c r="C640" t="s">
        <v>1821</v>
      </c>
    </row>
    <row r="641" spans="1:3" x14ac:dyDescent="0.35">
      <c r="A641" t="s">
        <v>1822</v>
      </c>
      <c r="B641" t="s">
        <v>1823</v>
      </c>
      <c r="C641" t="s">
        <v>1824</v>
      </c>
    </row>
    <row r="642" spans="1:3" x14ac:dyDescent="0.35">
      <c r="A642" t="s">
        <v>1825</v>
      </c>
      <c r="B642" t="s">
        <v>1826</v>
      </c>
      <c r="C642" t="s">
        <v>1827</v>
      </c>
    </row>
    <row r="643" spans="1:3" x14ac:dyDescent="0.35">
      <c r="A643" t="s">
        <v>1828</v>
      </c>
      <c r="B643" t="s">
        <v>1829</v>
      </c>
      <c r="C643" t="s">
        <v>1830</v>
      </c>
    </row>
    <row r="644" spans="1:3" x14ac:dyDescent="0.35">
      <c r="A644" t="s">
        <v>1831</v>
      </c>
      <c r="B644">
        <v>2273010641</v>
      </c>
      <c r="C644" t="s">
        <v>1832</v>
      </c>
    </row>
    <row r="645" spans="1:3" x14ac:dyDescent="0.35">
      <c r="A645" t="s">
        <v>1833</v>
      </c>
      <c r="B645" t="s">
        <v>1834</v>
      </c>
      <c r="C645" t="s">
        <v>1835</v>
      </c>
    </row>
    <row r="646" spans="1:3" x14ac:dyDescent="0.35">
      <c r="A646" t="s">
        <v>1836</v>
      </c>
      <c r="B646" t="s">
        <v>1837</v>
      </c>
      <c r="C646" t="s">
        <v>1838</v>
      </c>
    </row>
    <row r="647" spans="1:3" x14ac:dyDescent="0.35">
      <c r="A647" t="s">
        <v>1839</v>
      </c>
      <c r="B647">
        <v>5676061005</v>
      </c>
      <c r="C647" t="s">
        <v>1840</v>
      </c>
    </row>
    <row r="648" spans="1:3" x14ac:dyDescent="0.35">
      <c r="A648" t="s">
        <v>1841</v>
      </c>
      <c r="B648" t="s">
        <v>1842</v>
      </c>
      <c r="C648" t="s">
        <v>1843</v>
      </c>
    </row>
    <row r="649" spans="1:3" x14ac:dyDescent="0.35">
      <c r="A649" t="s">
        <v>1844</v>
      </c>
      <c r="B649" t="s">
        <v>1845</v>
      </c>
      <c r="C649" t="s">
        <v>1846</v>
      </c>
    </row>
    <row r="650" spans="1:3" x14ac:dyDescent="0.35">
      <c r="A650" t="s">
        <v>1847</v>
      </c>
      <c r="B650" t="s">
        <v>1848</v>
      </c>
      <c r="C650" t="s">
        <v>1849</v>
      </c>
    </row>
    <row r="651" spans="1:3" x14ac:dyDescent="0.35">
      <c r="A651" t="s">
        <v>1850</v>
      </c>
      <c r="B651" t="s">
        <v>1851</v>
      </c>
      <c r="C651" t="s">
        <v>1852</v>
      </c>
    </row>
    <row r="652" spans="1:3" x14ac:dyDescent="0.35">
      <c r="A652" t="s">
        <v>1853</v>
      </c>
      <c r="B652" t="s">
        <v>1854</v>
      </c>
      <c r="C652" t="s">
        <v>1855</v>
      </c>
    </row>
    <row r="653" spans="1:3" x14ac:dyDescent="0.35">
      <c r="A653" t="s">
        <v>1856</v>
      </c>
      <c r="B653" t="s">
        <v>1857</v>
      </c>
      <c r="C653" t="s">
        <v>1858</v>
      </c>
    </row>
    <row r="654" spans="1:3" x14ac:dyDescent="0.35">
      <c r="A654" t="s">
        <v>1859</v>
      </c>
      <c r="B654" t="s">
        <v>1860</v>
      </c>
      <c r="C654" t="s">
        <v>1861</v>
      </c>
    </row>
    <row r="655" spans="1:3" x14ac:dyDescent="0.35">
      <c r="A655" t="s">
        <v>1862</v>
      </c>
      <c r="B655" t="s">
        <v>1863</v>
      </c>
      <c r="C655" t="s">
        <v>1864</v>
      </c>
    </row>
    <row r="656" spans="1:3" x14ac:dyDescent="0.35">
      <c r="A656" t="s">
        <v>1865</v>
      </c>
      <c r="B656">
        <f>1-411-906-6538</f>
        <v>-7854</v>
      </c>
      <c r="C656" t="s">
        <v>1866</v>
      </c>
    </row>
    <row r="657" spans="1:3" x14ac:dyDescent="0.35">
      <c r="A657" t="s">
        <v>1867</v>
      </c>
      <c r="B657" t="s">
        <v>1868</v>
      </c>
      <c r="C657" t="s">
        <v>1869</v>
      </c>
    </row>
    <row r="658" spans="1:3" x14ac:dyDescent="0.35">
      <c r="A658" t="s">
        <v>1870</v>
      </c>
      <c r="B658" t="s">
        <v>1871</v>
      </c>
      <c r="C658" t="s">
        <v>1872</v>
      </c>
    </row>
    <row r="659" spans="1:3" x14ac:dyDescent="0.35">
      <c r="A659" t="s">
        <v>1873</v>
      </c>
      <c r="B659" t="s">
        <v>1874</v>
      </c>
      <c r="C659" t="s">
        <v>1875</v>
      </c>
    </row>
    <row r="660" spans="1:3" x14ac:dyDescent="0.35">
      <c r="A660" t="s">
        <v>1876</v>
      </c>
      <c r="B660" t="s">
        <v>1877</v>
      </c>
      <c r="C660" t="s">
        <v>1500</v>
      </c>
    </row>
    <row r="661" spans="1:3" x14ac:dyDescent="0.35">
      <c r="A661" t="s">
        <v>1878</v>
      </c>
      <c r="B661" t="s">
        <v>1879</v>
      </c>
      <c r="C661" t="s">
        <v>1880</v>
      </c>
    </row>
    <row r="662" spans="1:3" x14ac:dyDescent="0.35">
      <c r="A662" t="s">
        <v>1881</v>
      </c>
      <c r="B662">
        <v>7866584796</v>
      </c>
      <c r="C662" t="s">
        <v>1882</v>
      </c>
    </row>
    <row r="663" spans="1:3" x14ac:dyDescent="0.35">
      <c r="A663" t="s">
        <v>1883</v>
      </c>
      <c r="B663" t="s">
        <v>1884</v>
      </c>
      <c r="C663" t="s">
        <v>1885</v>
      </c>
    </row>
    <row r="664" spans="1:3" x14ac:dyDescent="0.35">
      <c r="A664" t="s">
        <v>1886</v>
      </c>
      <c r="B664" t="s">
        <v>1887</v>
      </c>
      <c r="C664" t="s">
        <v>1888</v>
      </c>
    </row>
    <row r="665" spans="1:3" x14ac:dyDescent="0.35">
      <c r="A665" t="s">
        <v>1889</v>
      </c>
      <c r="B665" t="s">
        <v>1890</v>
      </c>
      <c r="C665" t="s">
        <v>1891</v>
      </c>
    </row>
    <row r="666" spans="1:3" x14ac:dyDescent="0.35">
      <c r="A666" t="s">
        <v>1892</v>
      </c>
      <c r="B666" t="s">
        <v>1893</v>
      </c>
      <c r="C666" t="s">
        <v>1894</v>
      </c>
    </row>
    <row r="667" spans="1:3" x14ac:dyDescent="0.35">
      <c r="A667" t="s">
        <v>1895</v>
      </c>
      <c r="B667" t="s">
        <v>1896</v>
      </c>
      <c r="C667" t="s">
        <v>1897</v>
      </c>
    </row>
    <row r="668" spans="1:3" x14ac:dyDescent="0.35">
      <c r="A668" t="s">
        <v>1898</v>
      </c>
      <c r="B668" t="s">
        <v>1899</v>
      </c>
      <c r="C668" t="s">
        <v>1900</v>
      </c>
    </row>
    <row r="669" spans="1:3" x14ac:dyDescent="0.35">
      <c r="A669" t="s">
        <v>1901</v>
      </c>
      <c r="B669" t="s">
        <v>1902</v>
      </c>
      <c r="C669" t="s">
        <v>1903</v>
      </c>
    </row>
    <row r="670" spans="1:3" x14ac:dyDescent="0.35">
      <c r="A670" t="s">
        <v>1904</v>
      </c>
      <c r="B670" t="s">
        <v>1905</v>
      </c>
      <c r="C670" t="s">
        <v>990</v>
      </c>
    </row>
    <row r="671" spans="1:3" x14ac:dyDescent="0.35">
      <c r="A671" t="s">
        <v>1906</v>
      </c>
      <c r="B671" t="s">
        <v>1907</v>
      </c>
      <c r="C671" t="s">
        <v>1908</v>
      </c>
    </row>
    <row r="672" spans="1:3" x14ac:dyDescent="0.35">
      <c r="A672" t="s">
        <v>1909</v>
      </c>
      <c r="B672" t="s">
        <v>1910</v>
      </c>
      <c r="C672" t="s">
        <v>1911</v>
      </c>
    </row>
    <row r="673" spans="1:3" x14ac:dyDescent="0.35">
      <c r="A673" t="s">
        <v>1912</v>
      </c>
      <c r="B673" t="s">
        <v>1913</v>
      </c>
      <c r="C673" t="s">
        <v>1914</v>
      </c>
    </row>
    <row r="674" spans="1:3" x14ac:dyDescent="0.35">
      <c r="A674" t="s">
        <v>1915</v>
      </c>
      <c r="B674" t="s">
        <v>1916</v>
      </c>
      <c r="C674" t="s">
        <v>1917</v>
      </c>
    </row>
    <row r="675" spans="1:3" x14ac:dyDescent="0.35">
      <c r="A675" t="s">
        <v>1918</v>
      </c>
      <c r="B675" t="s">
        <v>1919</v>
      </c>
      <c r="C675" t="s">
        <v>1920</v>
      </c>
    </row>
    <row r="676" spans="1:3" x14ac:dyDescent="0.35">
      <c r="A676" t="s">
        <v>1921</v>
      </c>
      <c r="B676" t="s">
        <v>1922</v>
      </c>
      <c r="C676" t="s">
        <v>1923</v>
      </c>
    </row>
    <row r="677" spans="1:3" x14ac:dyDescent="0.35">
      <c r="A677" t="s">
        <v>1924</v>
      </c>
      <c r="B677" t="s">
        <v>1925</v>
      </c>
      <c r="C677" t="s">
        <v>1926</v>
      </c>
    </row>
    <row r="678" spans="1:3" x14ac:dyDescent="0.35">
      <c r="A678" t="s">
        <v>1927</v>
      </c>
      <c r="B678" t="s">
        <v>1928</v>
      </c>
      <c r="C678" t="s">
        <v>1929</v>
      </c>
    </row>
    <row r="679" spans="1:3" x14ac:dyDescent="0.35">
      <c r="A679" t="s">
        <v>1930</v>
      </c>
      <c r="B679" t="s">
        <v>1931</v>
      </c>
      <c r="C679" t="s">
        <v>1932</v>
      </c>
    </row>
    <row r="680" spans="1:3" x14ac:dyDescent="0.35">
      <c r="A680" t="s">
        <v>1933</v>
      </c>
      <c r="B680" t="s">
        <v>1934</v>
      </c>
      <c r="C680" t="s">
        <v>1935</v>
      </c>
    </row>
    <row r="681" spans="1:3" x14ac:dyDescent="0.35">
      <c r="A681" t="s">
        <v>1936</v>
      </c>
      <c r="B681" t="s">
        <v>1937</v>
      </c>
      <c r="C681" t="s">
        <v>1512</v>
      </c>
    </row>
    <row r="682" spans="1:3" x14ac:dyDescent="0.35">
      <c r="A682" t="s">
        <v>1938</v>
      </c>
      <c r="B682" t="s">
        <v>1939</v>
      </c>
      <c r="C682" t="s">
        <v>1940</v>
      </c>
    </row>
    <row r="683" spans="1:3" x14ac:dyDescent="0.35">
      <c r="A683" t="s">
        <v>1941</v>
      </c>
      <c r="B683" t="s">
        <v>1942</v>
      </c>
      <c r="C683" t="s">
        <v>1943</v>
      </c>
    </row>
    <row r="684" spans="1:3" x14ac:dyDescent="0.35">
      <c r="A684" t="s">
        <v>1944</v>
      </c>
      <c r="B684" t="s">
        <v>1945</v>
      </c>
      <c r="C684" t="s">
        <v>1946</v>
      </c>
    </row>
    <row r="685" spans="1:3" x14ac:dyDescent="0.35">
      <c r="A685" t="s">
        <v>1947</v>
      </c>
      <c r="B685" t="s">
        <v>1948</v>
      </c>
      <c r="C685" t="s">
        <v>1949</v>
      </c>
    </row>
    <row r="686" spans="1:3" x14ac:dyDescent="0.35">
      <c r="A686" t="s">
        <v>1950</v>
      </c>
      <c r="B686" t="s">
        <v>1951</v>
      </c>
      <c r="C686" t="s">
        <v>632</v>
      </c>
    </row>
    <row r="687" spans="1:3" x14ac:dyDescent="0.35">
      <c r="A687" t="s">
        <v>1952</v>
      </c>
      <c r="B687" t="s">
        <v>1953</v>
      </c>
      <c r="C687" t="s">
        <v>1954</v>
      </c>
    </row>
    <row r="688" spans="1:3" x14ac:dyDescent="0.35">
      <c r="A688" t="s">
        <v>1955</v>
      </c>
      <c r="B688" t="s">
        <v>1956</v>
      </c>
      <c r="C688" t="s">
        <v>1957</v>
      </c>
    </row>
    <row r="689" spans="1:3" x14ac:dyDescent="0.35">
      <c r="A689" t="s">
        <v>1958</v>
      </c>
      <c r="B689" t="s">
        <v>1959</v>
      </c>
      <c r="C689" t="s">
        <v>1960</v>
      </c>
    </row>
    <row r="690" spans="1:3" x14ac:dyDescent="0.35">
      <c r="A690" t="s">
        <v>1961</v>
      </c>
      <c r="B690" t="s">
        <v>1962</v>
      </c>
      <c r="C690" t="s">
        <v>1963</v>
      </c>
    </row>
    <row r="691" spans="1:3" x14ac:dyDescent="0.35">
      <c r="A691" t="s">
        <v>1964</v>
      </c>
      <c r="B691" t="s">
        <v>1965</v>
      </c>
      <c r="C691" t="s">
        <v>1966</v>
      </c>
    </row>
    <row r="692" spans="1:3" x14ac:dyDescent="0.35">
      <c r="A692" t="s">
        <v>1967</v>
      </c>
      <c r="B692" t="s">
        <v>1968</v>
      </c>
      <c r="C692" t="s">
        <v>1969</v>
      </c>
    </row>
    <row r="693" spans="1:3" x14ac:dyDescent="0.35">
      <c r="A693" t="s">
        <v>1970</v>
      </c>
      <c r="B693" t="s">
        <v>1971</v>
      </c>
      <c r="C693" t="s">
        <v>1972</v>
      </c>
    </row>
    <row r="694" spans="1:3" x14ac:dyDescent="0.35">
      <c r="A694" t="s">
        <v>1973</v>
      </c>
      <c r="B694" t="s">
        <v>1974</v>
      </c>
      <c r="C694" t="s">
        <v>1975</v>
      </c>
    </row>
    <row r="695" spans="1:3" x14ac:dyDescent="0.35">
      <c r="A695" t="s">
        <v>1976</v>
      </c>
      <c r="B695" t="s">
        <v>1977</v>
      </c>
      <c r="C695" t="s">
        <v>1978</v>
      </c>
    </row>
    <row r="696" spans="1:3" x14ac:dyDescent="0.35">
      <c r="A696" t="s">
        <v>1979</v>
      </c>
      <c r="B696" t="s">
        <v>1980</v>
      </c>
      <c r="C696" t="s">
        <v>1981</v>
      </c>
    </row>
    <row r="697" spans="1:3" x14ac:dyDescent="0.35">
      <c r="A697" t="s">
        <v>1982</v>
      </c>
      <c r="B697" t="s">
        <v>1983</v>
      </c>
      <c r="C697" t="s">
        <v>1984</v>
      </c>
    </row>
    <row r="698" spans="1:3" x14ac:dyDescent="0.35">
      <c r="A698" t="s">
        <v>1985</v>
      </c>
      <c r="B698" t="s">
        <v>1986</v>
      </c>
      <c r="C698" t="s">
        <v>1987</v>
      </c>
    </row>
    <row r="699" spans="1:3" x14ac:dyDescent="0.35">
      <c r="A699" t="s">
        <v>1988</v>
      </c>
      <c r="B699" t="s">
        <v>1989</v>
      </c>
      <c r="C699" t="s">
        <v>1990</v>
      </c>
    </row>
    <row r="700" spans="1:3" x14ac:dyDescent="0.35">
      <c r="A700" t="s">
        <v>1991</v>
      </c>
      <c r="B700" t="s">
        <v>1992</v>
      </c>
      <c r="C700" t="s">
        <v>1993</v>
      </c>
    </row>
    <row r="701" spans="1:3" x14ac:dyDescent="0.35">
      <c r="A701" t="s">
        <v>1994</v>
      </c>
      <c r="B701" t="s">
        <v>1995</v>
      </c>
      <c r="C701" t="s">
        <v>1996</v>
      </c>
    </row>
    <row r="702" spans="1:3" x14ac:dyDescent="0.35">
      <c r="A702" t="s">
        <v>1997</v>
      </c>
      <c r="B702" t="s">
        <v>1998</v>
      </c>
      <c r="C702" t="s">
        <v>1999</v>
      </c>
    </row>
    <row r="703" spans="1:3" x14ac:dyDescent="0.35">
      <c r="A703" t="s">
        <v>2000</v>
      </c>
      <c r="B703" t="s">
        <v>2001</v>
      </c>
      <c r="C703" t="s">
        <v>2002</v>
      </c>
    </row>
    <row r="704" spans="1:3" x14ac:dyDescent="0.35">
      <c r="A704" t="s">
        <v>2003</v>
      </c>
      <c r="B704" t="s">
        <v>2004</v>
      </c>
      <c r="C704" t="s">
        <v>2005</v>
      </c>
    </row>
    <row r="705" spans="1:3" x14ac:dyDescent="0.35">
      <c r="A705" t="s">
        <v>2006</v>
      </c>
      <c r="B705" t="s">
        <v>2007</v>
      </c>
      <c r="C705" t="s">
        <v>2008</v>
      </c>
    </row>
    <row r="706" spans="1:3" x14ac:dyDescent="0.35">
      <c r="A706" t="s">
        <v>2009</v>
      </c>
      <c r="B706" t="s">
        <v>2010</v>
      </c>
      <c r="C706" t="s">
        <v>2011</v>
      </c>
    </row>
    <row r="707" spans="1:3" x14ac:dyDescent="0.35">
      <c r="A707" t="s">
        <v>2012</v>
      </c>
      <c r="B707" t="s">
        <v>2013</v>
      </c>
      <c r="C707" t="s">
        <v>2014</v>
      </c>
    </row>
    <row r="708" spans="1:3" x14ac:dyDescent="0.35">
      <c r="A708" t="s">
        <v>2015</v>
      </c>
      <c r="B708" t="s">
        <v>2016</v>
      </c>
      <c r="C708" t="s">
        <v>2017</v>
      </c>
    </row>
    <row r="709" spans="1:3" x14ac:dyDescent="0.35">
      <c r="A709" t="s">
        <v>2018</v>
      </c>
      <c r="B709">
        <f>1-326-582-6289</f>
        <v>-7196</v>
      </c>
      <c r="C709" t="s">
        <v>2019</v>
      </c>
    </row>
    <row r="710" spans="1:3" x14ac:dyDescent="0.35">
      <c r="A710" t="s">
        <v>2020</v>
      </c>
      <c r="B710" t="s">
        <v>2021</v>
      </c>
      <c r="C710" t="s">
        <v>2022</v>
      </c>
    </row>
    <row r="711" spans="1:3" x14ac:dyDescent="0.35">
      <c r="A711" t="s">
        <v>2023</v>
      </c>
      <c r="B711" t="s">
        <v>2024</v>
      </c>
      <c r="C711" t="s">
        <v>2025</v>
      </c>
    </row>
    <row r="712" spans="1:3" x14ac:dyDescent="0.35">
      <c r="A712" t="s">
        <v>2026</v>
      </c>
      <c r="B712" t="s">
        <v>2027</v>
      </c>
      <c r="C712" t="s">
        <v>2028</v>
      </c>
    </row>
    <row r="713" spans="1:3" x14ac:dyDescent="0.35">
      <c r="A713" t="s">
        <v>2029</v>
      </c>
      <c r="B713">
        <v>8843057400</v>
      </c>
      <c r="C713" t="s">
        <v>2030</v>
      </c>
    </row>
    <row r="714" spans="1:3" x14ac:dyDescent="0.35">
      <c r="A714" t="s">
        <v>2031</v>
      </c>
      <c r="B714" t="s">
        <v>2032</v>
      </c>
      <c r="C714" t="s">
        <v>2033</v>
      </c>
    </row>
    <row r="715" spans="1:3" x14ac:dyDescent="0.35">
      <c r="A715" t="s">
        <v>2034</v>
      </c>
      <c r="B715" t="s">
        <v>2035</v>
      </c>
      <c r="C715" t="s">
        <v>2036</v>
      </c>
    </row>
    <row r="716" spans="1:3" x14ac:dyDescent="0.35">
      <c r="A716" t="s">
        <v>2037</v>
      </c>
      <c r="B716" t="s">
        <v>2038</v>
      </c>
      <c r="C716" t="s">
        <v>2039</v>
      </c>
    </row>
    <row r="717" spans="1:3" x14ac:dyDescent="0.35">
      <c r="A717" t="s">
        <v>2040</v>
      </c>
      <c r="B717" t="s">
        <v>2041</v>
      </c>
      <c r="C717" t="s">
        <v>2042</v>
      </c>
    </row>
    <row r="718" spans="1:3" x14ac:dyDescent="0.35">
      <c r="A718" t="s">
        <v>2043</v>
      </c>
      <c r="B718">
        <v>9977279115</v>
      </c>
      <c r="C718" t="s">
        <v>2044</v>
      </c>
    </row>
    <row r="719" spans="1:3" x14ac:dyDescent="0.35">
      <c r="A719" t="s">
        <v>2045</v>
      </c>
      <c r="B719" t="s">
        <v>2046</v>
      </c>
      <c r="C719" t="s">
        <v>1838</v>
      </c>
    </row>
    <row r="720" spans="1:3" x14ac:dyDescent="0.35">
      <c r="A720" t="s">
        <v>2047</v>
      </c>
      <c r="B720" t="s">
        <v>2048</v>
      </c>
      <c r="C720" t="s">
        <v>2049</v>
      </c>
    </row>
    <row r="721" spans="1:3" x14ac:dyDescent="0.35">
      <c r="A721" t="s">
        <v>2050</v>
      </c>
      <c r="B721" t="s">
        <v>2051</v>
      </c>
      <c r="C721" t="s">
        <v>2052</v>
      </c>
    </row>
    <row r="722" spans="1:3" x14ac:dyDescent="0.35">
      <c r="A722" t="s">
        <v>2053</v>
      </c>
      <c r="B722">
        <v>4345176054</v>
      </c>
      <c r="C722" t="s">
        <v>2054</v>
      </c>
    </row>
    <row r="723" spans="1:3" x14ac:dyDescent="0.35">
      <c r="A723" t="s">
        <v>2055</v>
      </c>
      <c r="B723" t="s">
        <v>2056</v>
      </c>
      <c r="C723" t="s">
        <v>2057</v>
      </c>
    </row>
    <row r="724" spans="1:3" x14ac:dyDescent="0.35">
      <c r="A724" t="s">
        <v>2058</v>
      </c>
      <c r="B724" t="s">
        <v>2059</v>
      </c>
      <c r="C724" t="s">
        <v>2060</v>
      </c>
    </row>
    <row r="725" spans="1:3" x14ac:dyDescent="0.35">
      <c r="A725" t="s">
        <v>2061</v>
      </c>
      <c r="B725" t="s">
        <v>2062</v>
      </c>
      <c r="C725" t="s">
        <v>2063</v>
      </c>
    </row>
    <row r="726" spans="1:3" x14ac:dyDescent="0.35">
      <c r="A726" t="s">
        <v>2064</v>
      </c>
      <c r="B726" t="s">
        <v>2065</v>
      </c>
      <c r="C726" t="s">
        <v>2066</v>
      </c>
    </row>
    <row r="727" spans="1:3" x14ac:dyDescent="0.35">
      <c r="A727" t="s">
        <v>2067</v>
      </c>
      <c r="B727" t="s">
        <v>2068</v>
      </c>
      <c r="C727" t="s">
        <v>2069</v>
      </c>
    </row>
    <row r="728" spans="1:3" x14ac:dyDescent="0.35">
      <c r="A728" t="s">
        <v>2070</v>
      </c>
      <c r="B728" t="s">
        <v>2071</v>
      </c>
      <c r="C728" t="s">
        <v>2072</v>
      </c>
    </row>
    <row r="729" spans="1:3" x14ac:dyDescent="0.35">
      <c r="A729" t="s">
        <v>2073</v>
      </c>
      <c r="B729" t="s">
        <v>2074</v>
      </c>
      <c r="C729" t="s">
        <v>2075</v>
      </c>
    </row>
    <row r="730" spans="1:3" x14ac:dyDescent="0.35">
      <c r="A730" t="s">
        <v>2076</v>
      </c>
      <c r="B730" t="s">
        <v>2077</v>
      </c>
      <c r="C730" t="s">
        <v>2078</v>
      </c>
    </row>
    <row r="731" spans="1:3" x14ac:dyDescent="0.35">
      <c r="A731" t="s">
        <v>2079</v>
      </c>
      <c r="B731" t="s">
        <v>2080</v>
      </c>
      <c r="C731" t="s">
        <v>2081</v>
      </c>
    </row>
    <row r="732" spans="1:3" x14ac:dyDescent="0.35">
      <c r="A732" t="s">
        <v>2082</v>
      </c>
      <c r="B732" t="s">
        <v>2083</v>
      </c>
      <c r="C732" t="s">
        <v>2084</v>
      </c>
    </row>
    <row r="733" spans="1:3" x14ac:dyDescent="0.35">
      <c r="A733" t="s">
        <v>2085</v>
      </c>
      <c r="B733" t="s">
        <v>2086</v>
      </c>
      <c r="C733" t="s">
        <v>2087</v>
      </c>
    </row>
    <row r="734" spans="1:3" x14ac:dyDescent="0.35">
      <c r="A734" t="s">
        <v>2088</v>
      </c>
      <c r="B734" t="s">
        <v>2089</v>
      </c>
      <c r="C734" t="s">
        <v>2090</v>
      </c>
    </row>
    <row r="735" spans="1:3" x14ac:dyDescent="0.35">
      <c r="A735" t="s">
        <v>2091</v>
      </c>
      <c r="B735" t="s">
        <v>2092</v>
      </c>
      <c r="C735" t="s">
        <v>2093</v>
      </c>
    </row>
    <row r="736" spans="1:3" x14ac:dyDescent="0.35">
      <c r="A736" t="s">
        <v>2094</v>
      </c>
      <c r="B736" t="s">
        <v>2095</v>
      </c>
      <c r="C736" t="s">
        <v>2096</v>
      </c>
    </row>
    <row r="737" spans="1:3" x14ac:dyDescent="0.35">
      <c r="A737" t="s">
        <v>2097</v>
      </c>
      <c r="B737" t="s">
        <v>2098</v>
      </c>
      <c r="C737" t="s">
        <v>2099</v>
      </c>
    </row>
    <row r="738" spans="1:3" x14ac:dyDescent="0.35">
      <c r="A738" t="s">
        <v>2100</v>
      </c>
      <c r="B738" t="s">
        <v>2101</v>
      </c>
      <c r="C738" t="s">
        <v>2102</v>
      </c>
    </row>
    <row r="739" spans="1:3" x14ac:dyDescent="0.35">
      <c r="A739" t="s">
        <v>2103</v>
      </c>
      <c r="B739" t="s">
        <v>2104</v>
      </c>
      <c r="C739" t="s">
        <v>2105</v>
      </c>
    </row>
    <row r="740" spans="1:3" x14ac:dyDescent="0.35">
      <c r="A740" t="s">
        <v>2106</v>
      </c>
      <c r="B740" t="s">
        <v>2107</v>
      </c>
      <c r="C740" t="s">
        <v>2108</v>
      </c>
    </row>
    <row r="741" spans="1:3" x14ac:dyDescent="0.35">
      <c r="A741" t="s">
        <v>2109</v>
      </c>
      <c r="B741" t="s">
        <v>2110</v>
      </c>
      <c r="C741" t="s">
        <v>2111</v>
      </c>
    </row>
    <row r="742" spans="1:3" x14ac:dyDescent="0.35">
      <c r="A742" t="s">
        <v>2112</v>
      </c>
      <c r="B742" t="s">
        <v>2113</v>
      </c>
      <c r="C742" t="s">
        <v>629</v>
      </c>
    </row>
    <row r="743" spans="1:3" x14ac:dyDescent="0.35">
      <c r="A743" t="s">
        <v>2114</v>
      </c>
      <c r="B743" t="s">
        <v>2115</v>
      </c>
      <c r="C743" t="s">
        <v>2116</v>
      </c>
    </row>
    <row r="744" spans="1:3" x14ac:dyDescent="0.35">
      <c r="A744" t="s">
        <v>2117</v>
      </c>
      <c r="B744" t="s">
        <v>2118</v>
      </c>
      <c r="C744" t="s">
        <v>1357</v>
      </c>
    </row>
    <row r="745" spans="1:3" x14ac:dyDescent="0.35">
      <c r="A745" t="s">
        <v>2119</v>
      </c>
      <c r="B745">
        <v>3997681318</v>
      </c>
      <c r="C745" t="s">
        <v>1923</v>
      </c>
    </row>
    <row r="746" spans="1:3" x14ac:dyDescent="0.35">
      <c r="A746" t="s">
        <v>2120</v>
      </c>
      <c r="B746" t="s">
        <v>2121</v>
      </c>
      <c r="C746" t="s">
        <v>2122</v>
      </c>
    </row>
    <row r="747" spans="1:3" x14ac:dyDescent="0.35">
      <c r="A747" t="s">
        <v>2123</v>
      </c>
      <c r="B747" t="s">
        <v>2124</v>
      </c>
      <c r="C747" t="s">
        <v>2125</v>
      </c>
    </row>
    <row r="748" spans="1:3" x14ac:dyDescent="0.35">
      <c r="A748" t="s">
        <v>2126</v>
      </c>
      <c r="B748">
        <v>3629239932</v>
      </c>
      <c r="C748" t="s">
        <v>2127</v>
      </c>
    </row>
    <row r="749" spans="1:3" x14ac:dyDescent="0.35">
      <c r="A749" t="s">
        <v>2128</v>
      </c>
      <c r="B749" t="s">
        <v>2129</v>
      </c>
      <c r="C749" t="s">
        <v>2130</v>
      </c>
    </row>
    <row r="750" spans="1:3" x14ac:dyDescent="0.35">
      <c r="A750" t="s">
        <v>2131</v>
      </c>
      <c r="B750" t="s">
        <v>2132</v>
      </c>
      <c r="C750" t="s">
        <v>2133</v>
      </c>
    </row>
    <row r="751" spans="1:3" x14ac:dyDescent="0.35">
      <c r="A751" t="s">
        <v>2134</v>
      </c>
      <c r="B751" t="s">
        <v>2135</v>
      </c>
      <c r="C751" t="s">
        <v>2136</v>
      </c>
    </row>
    <row r="752" spans="1:3" x14ac:dyDescent="0.35">
      <c r="A752" t="s">
        <v>2137</v>
      </c>
      <c r="B752" t="s">
        <v>2138</v>
      </c>
      <c r="C752" t="s">
        <v>2139</v>
      </c>
    </row>
    <row r="753" spans="1:3" x14ac:dyDescent="0.35">
      <c r="A753" t="s">
        <v>2140</v>
      </c>
      <c r="B753">
        <f>1-365-616-1749</f>
        <v>-2729</v>
      </c>
      <c r="C753" t="s">
        <v>2141</v>
      </c>
    </row>
    <row r="754" spans="1:3" x14ac:dyDescent="0.35">
      <c r="A754" t="s">
        <v>2142</v>
      </c>
      <c r="B754">
        <f>1-843-288-9009</f>
        <v>-10139</v>
      </c>
      <c r="C754" t="s">
        <v>1631</v>
      </c>
    </row>
    <row r="755" spans="1:3" x14ac:dyDescent="0.35">
      <c r="A755" t="s">
        <v>2143</v>
      </c>
      <c r="B755" t="s">
        <v>2144</v>
      </c>
      <c r="C755" t="s">
        <v>2145</v>
      </c>
    </row>
    <row r="756" spans="1:3" x14ac:dyDescent="0.35">
      <c r="A756" t="s">
        <v>2146</v>
      </c>
      <c r="B756">
        <v>2495807834</v>
      </c>
      <c r="C756" t="s">
        <v>2147</v>
      </c>
    </row>
    <row r="757" spans="1:3" x14ac:dyDescent="0.35">
      <c r="A757" t="s">
        <v>2148</v>
      </c>
      <c r="B757" t="s">
        <v>2149</v>
      </c>
      <c r="C757" t="s">
        <v>2150</v>
      </c>
    </row>
    <row r="758" spans="1:3" x14ac:dyDescent="0.35">
      <c r="A758" t="s">
        <v>2151</v>
      </c>
      <c r="B758" t="s">
        <v>2152</v>
      </c>
      <c r="C758" t="s">
        <v>2153</v>
      </c>
    </row>
    <row r="759" spans="1:3" x14ac:dyDescent="0.35">
      <c r="A759" t="s">
        <v>2154</v>
      </c>
      <c r="B759" t="s">
        <v>2155</v>
      </c>
      <c r="C759" t="s">
        <v>2156</v>
      </c>
    </row>
    <row r="760" spans="1:3" x14ac:dyDescent="0.35">
      <c r="A760" t="s">
        <v>2157</v>
      </c>
      <c r="B760">
        <v>9452889736</v>
      </c>
      <c r="C760" t="s">
        <v>2158</v>
      </c>
    </row>
    <row r="761" spans="1:3" x14ac:dyDescent="0.35">
      <c r="A761" t="s">
        <v>2159</v>
      </c>
      <c r="B761" t="s">
        <v>2160</v>
      </c>
      <c r="C761" t="s">
        <v>2161</v>
      </c>
    </row>
    <row r="762" spans="1:3" x14ac:dyDescent="0.35">
      <c r="A762" t="s">
        <v>2162</v>
      </c>
      <c r="B762" t="s">
        <v>2163</v>
      </c>
      <c r="C762" t="s">
        <v>2164</v>
      </c>
    </row>
    <row r="763" spans="1:3" x14ac:dyDescent="0.35">
      <c r="A763" t="s">
        <v>2165</v>
      </c>
      <c r="B763" t="s">
        <v>2166</v>
      </c>
      <c r="C763" t="s">
        <v>2167</v>
      </c>
    </row>
    <row r="764" spans="1:3" x14ac:dyDescent="0.35">
      <c r="A764" t="s">
        <v>2168</v>
      </c>
      <c r="B764" t="s">
        <v>2169</v>
      </c>
      <c r="C764" t="s">
        <v>2170</v>
      </c>
    </row>
    <row r="765" spans="1:3" x14ac:dyDescent="0.35">
      <c r="A765" t="s">
        <v>2171</v>
      </c>
      <c r="B765" t="s">
        <v>2172</v>
      </c>
      <c r="C765" t="s">
        <v>2173</v>
      </c>
    </row>
    <row r="766" spans="1:3" x14ac:dyDescent="0.35">
      <c r="A766" t="s">
        <v>2174</v>
      </c>
      <c r="B766" t="s">
        <v>2175</v>
      </c>
      <c r="C766" t="s">
        <v>2127</v>
      </c>
    </row>
    <row r="767" spans="1:3" x14ac:dyDescent="0.35">
      <c r="A767" t="s">
        <v>2176</v>
      </c>
      <c r="B767">
        <v>2057057498</v>
      </c>
      <c r="C767" t="s">
        <v>2177</v>
      </c>
    </row>
    <row r="768" spans="1:3" x14ac:dyDescent="0.35">
      <c r="A768" t="s">
        <v>2178</v>
      </c>
      <c r="B768" t="s">
        <v>2179</v>
      </c>
      <c r="C768" t="s">
        <v>2180</v>
      </c>
    </row>
    <row r="769" spans="1:3" x14ac:dyDescent="0.35">
      <c r="A769" t="s">
        <v>2181</v>
      </c>
      <c r="B769" t="s">
        <v>2182</v>
      </c>
      <c r="C769" t="s">
        <v>2183</v>
      </c>
    </row>
    <row r="770" spans="1:3" x14ac:dyDescent="0.35">
      <c r="A770" t="s">
        <v>2184</v>
      </c>
      <c r="B770" t="s">
        <v>2185</v>
      </c>
      <c r="C770" t="s">
        <v>2186</v>
      </c>
    </row>
    <row r="771" spans="1:3" x14ac:dyDescent="0.35">
      <c r="A771" t="s">
        <v>2187</v>
      </c>
      <c r="B771" t="s">
        <v>2188</v>
      </c>
      <c r="C771" t="s">
        <v>2189</v>
      </c>
    </row>
    <row r="772" spans="1:3" x14ac:dyDescent="0.35">
      <c r="A772" t="s">
        <v>2190</v>
      </c>
      <c r="B772">
        <f>1-871-338-6826</f>
        <v>-8034</v>
      </c>
      <c r="C772" t="s">
        <v>2191</v>
      </c>
    </row>
    <row r="773" spans="1:3" x14ac:dyDescent="0.35">
      <c r="A773" t="s">
        <v>2192</v>
      </c>
      <c r="B773" t="s">
        <v>2193</v>
      </c>
      <c r="C773" t="s">
        <v>2194</v>
      </c>
    </row>
    <row r="774" spans="1:3" x14ac:dyDescent="0.35">
      <c r="A774" t="s">
        <v>2195</v>
      </c>
      <c r="B774" t="s">
        <v>2196</v>
      </c>
      <c r="C774" t="s">
        <v>2197</v>
      </c>
    </row>
    <row r="775" spans="1:3" x14ac:dyDescent="0.35">
      <c r="A775" t="s">
        <v>2198</v>
      </c>
      <c r="B775">
        <f>1-576-536-8984</f>
        <v>-10095</v>
      </c>
      <c r="C775" t="s">
        <v>2199</v>
      </c>
    </row>
    <row r="776" spans="1:3" x14ac:dyDescent="0.35">
      <c r="A776" t="s">
        <v>2200</v>
      </c>
      <c r="B776" t="s">
        <v>2201</v>
      </c>
      <c r="C776" t="s">
        <v>2202</v>
      </c>
    </row>
    <row r="777" spans="1:3" x14ac:dyDescent="0.35">
      <c r="A777" t="s">
        <v>2203</v>
      </c>
      <c r="B777">
        <v>6855856559</v>
      </c>
      <c r="C777" t="s">
        <v>2204</v>
      </c>
    </row>
    <row r="778" spans="1:3" x14ac:dyDescent="0.35">
      <c r="A778" t="s">
        <v>2205</v>
      </c>
      <c r="B778" t="s">
        <v>2206</v>
      </c>
      <c r="C778" t="s">
        <v>2207</v>
      </c>
    </row>
    <row r="779" spans="1:3" x14ac:dyDescent="0.35">
      <c r="A779" t="s">
        <v>2208</v>
      </c>
      <c r="B779" t="s">
        <v>2209</v>
      </c>
      <c r="C779" t="s">
        <v>2210</v>
      </c>
    </row>
    <row r="780" spans="1:3" x14ac:dyDescent="0.35">
      <c r="A780" t="s">
        <v>2211</v>
      </c>
      <c r="B780" t="s">
        <v>2212</v>
      </c>
      <c r="C780" t="s">
        <v>2213</v>
      </c>
    </row>
    <row r="781" spans="1:3" x14ac:dyDescent="0.35">
      <c r="A781" t="s">
        <v>2214</v>
      </c>
      <c r="B781" t="s">
        <v>2215</v>
      </c>
      <c r="C781" t="s">
        <v>2216</v>
      </c>
    </row>
    <row r="782" spans="1:3" x14ac:dyDescent="0.35">
      <c r="A782" t="s">
        <v>2217</v>
      </c>
      <c r="B782" t="s">
        <v>2218</v>
      </c>
      <c r="C782" t="s">
        <v>2219</v>
      </c>
    </row>
    <row r="783" spans="1:3" x14ac:dyDescent="0.35">
      <c r="A783" t="s">
        <v>2220</v>
      </c>
      <c r="B783" t="s">
        <v>2221</v>
      </c>
      <c r="C783" t="s">
        <v>2222</v>
      </c>
    </row>
    <row r="784" spans="1:3" x14ac:dyDescent="0.35">
      <c r="A784" t="s">
        <v>2223</v>
      </c>
      <c r="B784" t="s">
        <v>2224</v>
      </c>
      <c r="C784" t="s">
        <v>2225</v>
      </c>
    </row>
    <row r="785" spans="1:3" x14ac:dyDescent="0.35">
      <c r="A785" t="s">
        <v>2226</v>
      </c>
      <c r="B785" t="s">
        <v>2227</v>
      </c>
      <c r="C785" t="s">
        <v>288</v>
      </c>
    </row>
    <row r="786" spans="1:3" x14ac:dyDescent="0.35">
      <c r="A786" t="s">
        <v>2228</v>
      </c>
      <c r="B786" t="s">
        <v>2229</v>
      </c>
      <c r="C786" t="s">
        <v>2230</v>
      </c>
    </row>
    <row r="787" spans="1:3" x14ac:dyDescent="0.35">
      <c r="A787" t="s">
        <v>2231</v>
      </c>
      <c r="B787">
        <v>4238326088</v>
      </c>
      <c r="C787" t="s">
        <v>2232</v>
      </c>
    </row>
    <row r="788" spans="1:3" x14ac:dyDescent="0.35">
      <c r="A788" t="s">
        <v>2233</v>
      </c>
      <c r="B788" t="s">
        <v>2234</v>
      </c>
      <c r="C788" t="s">
        <v>2235</v>
      </c>
    </row>
    <row r="789" spans="1:3" x14ac:dyDescent="0.35">
      <c r="A789" t="s">
        <v>2236</v>
      </c>
      <c r="B789">
        <v>9055193173</v>
      </c>
      <c r="C789" t="s">
        <v>2237</v>
      </c>
    </row>
    <row r="790" spans="1:3" x14ac:dyDescent="0.35">
      <c r="A790" t="s">
        <v>2238</v>
      </c>
      <c r="B790" t="s">
        <v>2239</v>
      </c>
      <c r="C790" t="s">
        <v>2240</v>
      </c>
    </row>
    <row r="791" spans="1:3" x14ac:dyDescent="0.35">
      <c r="A791" t="s">
        <v>2241</v>
      </c>
      <c r="B791">
        <v>9812654316</v>
      </c>
      <c r="C791" t="s">
        <v>2242</v>
      </c>
    </row>
    <row r="792" spans="1:3" x14ac:dyDescent="0.35">
      <c r="A792" t="s">
        <v>2243</v>
      </c>
      <c r="B792" t="s">
        <v>2244</v>
      </c>
      <c r="C792" t="s">
        <v>2245</v>
      </c>
    </row>
    <row r="793" spans="1:3" x14ac:dyDescent="0.35">
      <c r="A793" t="s">
        <v>2246</v>
      </c>
      <c r="B793" t="s">
        <v>2247</v>
      </c>
      <c r="C793" t="s">
        <v>2248</v>
      </c>
    </row>
    <row r="794" spans="1:3" x14ac:dyDescent="0.35">
      <c r="A794" t="s">
        <v>2249</v>
      </c>
      <c r="B794">
        <v>6119283204</v>
      </c>
      <c r="C794" t="s">
        <v>2250</v>
      </c>
    </row>
    <row r="795" spans="1:3" x14ac:dyDescent="0.35">
      <c r="A795" t="s">
        <v>2251</v>
      </c>
      <c r="B795" t="s">
        <v>2252</v>
      </c>
      <c r="C795" t="s">
        <v>2253</v>
      </c>
    </row>
    <row r="796" spans="1:3" x14ac:dyDescent="0.35">
      <c r="A796" t="s">
        <v>2254</v>
      </c>
      <c r="B796" t="s">
        <v>2255</v>
      </c>
      <c r="C796" t="s">
        <v>2256</v>
      </c>
    </row>
    <row r="797" spans="1:3" x14ac:dyDescent="0.35">
      <c r="A797" t="s">
        <v>2257</v>
      </c>
      <c r="B797" t="s">
        <v>2258</v>
      </c>
      <c r="C797" t="s">
        <v>2259</v>
      </c>
    </row>
    <row r="798" spans="1:3" x14ac:dyDescent="0.35">
      <c r="A798" t="s">
        <v>2260</v>
      </c>
      <c r="B798" t="s">
        <v>2261</v>
      </c>
      <c r="C798" t="s">
        <v>2262</v>
      </c>
    </row>
    <row r="799" spans="1:3" x14ac:dyDescent="0.35">
      <c r="A799" t="s">
        <v>2263</v>
      </c>
      <c r="B799" t="s">
        <v>2264</v>
      </c>
      <c r="C799" t="s">
        <v>2265</v>
      </c>
    </row>
    <row r="800" spans="1:3" x14ac:dyDescent="0.35">
      <c r="A800" t="s">
        <v>2266</v>
      </c>
      <c r="B800" t="s">
        <v>2267</v>
      </c>
      <c r="C800" t="s">
        <v>2268</v>
      </c>
    </row>
    <row r="801" spans="1:3" x14ac:dyDescent="0.35">
      <c r="A801" t="s">
        <v>2269</v>
      </c>
      <c r="B801" t="s">
        <v>2270</v>
      </c>
      <c r="C801" t="s">
        <v>2271</v>
      </c>
    </row>
    <row r="802" spans="1:3" x14ac:dyDescent="0.35">
      <c r="A802" t="s">
        <v>2272</v>
      </c>
      <c r="B802" t="s">
        <v>2273</v>
      </c>
      <c r="C802" t="s">
        <v>2274</v>
      </c>
    </row>
    <row r="803" spans="1:3" x14ac:dyDescent="0.35">
      <c r="A803" t="s">
        <v>2275</v>
      </c>
      <c r="B803" t="s">
        <v>2276</v>
      </c>
      <c r="C803" t="s">
        <v>2277</v>
      </c>
    </row>
    <row r="804" spans="1:3" x14ac:dyDescent="0.35">
      <c r="A804" t="s">
        <v>2278</v>
      </c>
      <c r="B804" t="s">
        <v>2279</v>
      </c>
      <c r="C804" t="s">
        <v>2280</v>
      </c>
    </row>
    <row r="805" spans="1:3" x14ac:dyDescent="0.35">
      <c r="A805" t="s">
        <v>2281</v>
      </c>
      <c r="B805" t="s">
        <v>2282</v>
      </c>
      <c r="C805" t="s">
        <v>2283</v>
      </c>
    </row>
    <row r="806" spans="1:3" x14ac:dyDescent="0.35">
      <c r="A806" t="s">
        <v>2284</v>
      </c>
      <c r="B806" t="s">
        <v>2285</v>
      </c>
      <c r="C806" t="s">
        <v>2286</v>
      </c>
    </row>
    <row r="807" spans="1:3" x14ac:dyDescent="0.35">
      <c r="A807" t="s">
        <v>2287</v>
      </c>
      <c r="B807" t="s">
        <v>2288</v>
      </c>
      <c r="C807" t="s">
        <v>2289</v>
      </c>
    </row>
    <row r="808" spans="1:3" x14ac:dyDescent="0.35">
      <c r="A808" t="s">
        <v>2290</v>
      </c>
      <c r="B808" t="s">
        <v>2291</v>
      </c>
      <c r="C808" t="s">
        <v>2292</v>
      </c>
    </row>
    <row r="809" spans="1:3" x14ac:dyDescent="0.35">
      <c r="A809" t="s">
        <v>2293</v>
      </c>
      <c r="B809" t="s">
        <v>2294</v>
      </c>
      <c r="C809" t="s">
        <v>2295</v>
      </c>
    </row>
    <row r="810" spans="1:3" x14ac:dyDescent="0.35">
      <c r="A810" t="s">
        <v>2296</v>
      </c>
      <c r="B810" t="s">
        <v>2297</v>
      </c>
      <c r="C810" t="s">
        <v>2298</v>
      </c>
    </row>
    <row r="811" spans="1:3" x14ac:dyDescent="0.35">
      <c r="A811" t="s">
        <v>2299</v>
      </c>
      <c r="B811" t="s">
        <v>2300</v>
      </c>
      <c r="C811" t="s">
        <v>2301</v>
      </c>
    </row>
    <row r="812" spans="1:3" x14ac:dyDescent="0.35">
      <c r="A812" t="s">
        <v>2302</v>
      </c>
      <c r="B812" t="s">
        <v>2303</v>
      </c>
      <c r="C812" t="s">
        <v>2304</v>
      </c>
    </row>
    <row r="813" spans="1:3" x14ac:dyDescent="0.35">
      <c r="A813" t="s">
        <v>2305</v>
      </c>
      <c r="B813" t="s">
        <v>2306</v>
      </c>
      <c r="C813" t="s">
        <v>2307</v>
      </c>
    </row>
    <row r="814" spans="1:3" x14ac:dyDescent="0.35">
      <c r="A814" t="s">
        <v>2308</v>
      </c>
      <c r="B814" t="s">
        <v>2309</v>
      </c>
      <c r="C814" t="s">
        <v>2310</v>
      </c>
    </row>
    <row r="815" spans="1:3" x14ac:dyDescent="0.35">
      <c r="A815" t="s">
        <v>2311</v>
      </c>
      <c r="B815">
        <v>8075243688</v>
      </c>
      <c r="C815" t="s">
        <v>2312</v>
      </c>
    </row>
    <row r="816" spans="1:3" x14ac:dyDescent="0.35">
      <c r="A816" t="s">
        <v>2313</v>
      </c>
      <c r="B816" t="s">
        <v>2314</v>
      </c>
      <c r="C816" t="s">
        <v>2315</v>
      </c>
    </row>
    <row r="817" spans="1:3" x14ac:dyDescent="0.35">
      <c r="A817" t="s">
        <v>2316</v>
      </c>
      <c r="B817" t="s">
        <v>2317</v>
      </c>
      <c r="C817" t="s">
        <v>2318</v>
      </c>
    </row>
    <row r="818" spans="1:3" x14ac:dyDescent="0.35">
      <c r="A818" t="s">
        <v>2319</v>
      </c>
      <c r="B818">
        <f>1-765-791-3774</f>
        <v>-5329</v>
      </c>
      <c r="C818" t="s">
        <v>2320</v>
      </c>
    </row>
    <row r="819" spans="1:3" x14ac:dyDescent="0.35">
      <c r="A819" t="s">
        <v>2321</v>
      </c>
      <c r="B819" t="s">
        <v>2322</v>
      </c>
      <c r="C819" t="s">
        <v>2323</v>
      </c>
    </row>
    <row r="820" spans="1:3" x14ac:dyDescent="0.35">
      <c r="A820" t="s">
        <v>2324</v>
      </c>
      <c r="B820" t="s">
        <v>2325</v>
      </c>
      <c r="C820" t="s">
        <v>2326</v>
      </c>
    </row>
    <row r="821" spans="1:3" x14ac:dyDescent="0.35">
      <c r="A821" t="s">
        <v>2327</v>
      </c>
      <c r="B821" t="s">
        <v>2328</v>
      </c>
      <c r="C821" t="s">
        <v>2329</v>
      </c>
    </row>
    <row r="822" spans="1:3" x14ac:dyDescent="0.35">
      <c r="A822" t="s">
        <v>2330</v>
      </c>
      <c r="B822">
        <v>5724544610</v>
      </c>
      <c r="C822" t="s">
        <v>2331</v>
      </c>
    </row>
    <row r="823" spans="1:3" x14ac:dyDescent="0.35">
      <c r="A823" t="s">
        <v>2332</v>
      </c>
      <c r="B823" t="s">
        <v>2333</v>
      </c>
      <c r="C823" t="s">
        <v>2334</v>
      </c>
    </row>
    <row r="824" spans="1:3" x14ac:dyDescent="0.35">
      <c r="A824" t="s">
        <v>2335</v>
      </c>
      <c r="B824" t="s">
        <v>2336</v>
      </c>
      <c r="C824" t="s">
        <v>2337</v>
      </c>
    </row>
    <row r="825" spans="1:3" x14ac:dyDescent="0.35">
      <c r="A825" t="s">
        <v>2338</v>
      </c>
      <c r="B825" t="s">
        <v>2339</v>
      </c>
      <c r="C825" t="s">
        <v>2340</v>
      </c>
    </row>
    <row r="826" spans="1:3" x14ac:dyDescent="0.35">
      <c r="A826" t="s">
        <v>2341</v>
      </c>
      <c r="B826" t="s">
        <v>2342</v>
      </c>
      <c r="C826" t="s">
        <v>2343</v>
      </c>
    </row>
    <row r="827" spans="1:3" x14ac:dyDescent="0.35">
      <c r="A827" t="s">
        <v>2344</v>
      </c>
      <c r="B827" t="s">
        <v>2345</v>
      </c>
      <c r="C827" t="s">
        <v>2346</v>
      </c>
    </row>
    <row r="828" spans="1:3" x14ac:dyDescent="0.35">
      <c r="A828" t="s">
        <v>2347</v>
      </c>
      <c r="B828" t="s">
        <v>2348</v>
      </c>
      <c r="C828" t="s">
        <v>2349</v>
      </c>
    </row>
    <row r="829" spans="1:3" x14ac:dyDescent="0.35">
      <c r="A829" t="s">
        <v>2350</v>
      </c>
      <c r="B829" t="s">
        <v>2351</v>
      </c>
      <c r="C829" t="s">
        <v>2352</v>
      </c>
    </row>
    <row r="830" spans="1:3" x14ac:dyDescent="0.35">
      <c r="A830" t="s">
        <v>2353</v>
      </c>
      <c r="B830" t="s">
        <v>2354</v>
      </c>
      <c r="C830" t="s">
        <v>2355</v>
      </c>
    </row>
    <row r="831" spans="1:3" x14ac:dyDescent="0.35">
      <c r="A831" t="s">
        <v>2356</v>
      </c>
      <c r="B831" t="s">
        <v>2357</v>
      </c>
      <c r="C831" t="s">
        <v>2358</v>
      </c>
    </row>
    <row r="832" spans="1:3" x14ac:dyDescent="0.35">
      <c r="A832" t="s">
        <v>2359</v>
      </c>
      <c r="B832">
        <v>5782372446</v>
      </c>
      <c r="C832" t="s">
        <v>2360</v>
      </c>
    </row>
    <row r="833" spans="1:3" x14ac:dyDescent="0.35">
      <c r="A833" t="s">
        <v>2361</v>
      </c>
      <c r="B833">
        <v>3053469187</v>
      </c>
      <c r="C833" t="s">
        <v>2362</v>
      </c>
    </row>
    <row r="834" spans="1:3" x14ac:dyDescent="0.35">
      <c r="A834" t="s">
        <v>2363</v>
      </c>
      <c r="B834" t="s">
        <v>2364</v>
      </c>
      <c r="C834" t="s">
        <v>2365</v>
      </c>
    </row>
    <row r="835" spans="1:3" x14ac:dyDescent="0.35">
      <c r="A835" t="s">
        <v>2366</v>
      </c>
      <c r="B835" t="s">
        <v>2367</v>
      </c>
      <c r="C835" t="s">
        <v>2368</v>
      </c>
    </row>
    <row r="836" spans="1:3" x14ac:dyDescent="0.35">
      <c r="A836" t="s">
        <v>2369</v>
      </c>
      <c r="B836" t="s">
        <v>2370</v>
      </c>
      <c r="C836" t="s">
        <v>2371</v>
      </c>
    </row>
    <row r="837" spans="1:3" x14ac:dyDescent="0.35">
      <c r="A837" t="s">
        <v>2372</v>
      </c>
      <c r="B837" t="s">
        <v>2373</v>
      </c>
      <c r="C837" t="s">
        <v>2374</v>
      </c>
    </row>
    <row r="838" spans="1:3" x14ac:dyDescent="0.35">
      <c r="A838" t="s">
        <v>2375</v>
      </c>
      <c r="B838" t="s">
        <v>2376</v>
      </c>
      <c r="C838" t="s">
        <v>2377</v>
      </c>
    </row>
    <row r="839" spans="1:3" x14ac:dyDescent="0.35">
      <c r="A839" t="s">
        <v>2378</v>
      </c>
      <c r="B839" t="s">
        <v>2379</v>
      </c>
      <c r="C839" t="s">
        <v>2380</v>
      </c>
    </row>
    <row r="840" spans="1:3" x14ac:dyDescent="0.35">
      <c r="A840" t="s">
        <v>2381</v>
      </c>
      <c r="B840" t="s">
        <v>2382</v>
      </c>
      <c r="C840" t="s">
        <v>2383</v>
      </c>
    </row>
    <row r="841" spans="1:3" x14ac:dyDescent="0.35">
      <c r="A841" t="s">
        <v>2384</v>
      </c>
      <c r="B841">
        <f>1-986-814-681</f>
        <v>-2480</v>
      </c>
      <c r="C841" t="s">
        <v>2385</v>
      </c>
    </row>
    <row r="842" spans="1:3" x14ac:dyDescent="0.35">
      <c r="A842" t="s">
        <v>2134</v>
      </c>
      <c r="B842" t="s">
        <v>2386</v>
      </c>
      <c r="C842" t="s">
        <v>2387</v>
      </c>
    </row>
    <row r="843" spans="1:3" x14ac:dyDescent="0.35">
      <c r="A843" t="s">
        <v>2388</v>
      </c>
      <c r="B843" t="s">
        <v>2389</v>
      </c>
      <c r="C843" t="s">
        <v>2390</v>
      </c>
    </row>
    <row r="844" spans="1:3" x14ac:dyDescent="0.35">
      <c r="A844" t="s">
        <v>2391</v>
      </c>
      <c r="B844" t="s">
        <v>2392</v>
      </c>
      <c r="C844" t="s">
        <v>2393</v>
      </c>
    </row>
    <row r="845" spans="1:3" x14ac:dyDescent="0.35">
      <c r="A845" t="s">
        <v>2394</v>
      </c>
      <c r="B845" t="s">
        <v>2395</v>
      </c>
      <c r="C845" t="s">
        <v>2396</v>
      </c>
    </row>
    <row r="846" spans="1:3" x14ac:dyDescent="0.35">
      <c r="A846" t="s">
        <v>2397</v>
      </c>
      <c r="B846" t="s">
        <v>2398</v>
      </c>
      <c r="C846" t="s">
        <v>2399</v>
      </c>
    </row>
    <row r="847" spans="1:3" x14ac:dyDescent="0.35">
      <c r="A847" t="s">
        <v>2400</v>
      </c>
      <c r="B847" t="s">
        <v>2401</v>
      </c>
      <c r="C847" t="s">
        <v>2402</v>
      </c>
    </row>
    <row r="848" spans="1:3" x14ac:dyDescent="0.35">
      <c r="A848" t="s">
        <v>2403</v>
      </c>
      <c r="B848" t="s">
        <v>2404</v>
      </c>
      <c r="C848" t="s">
        <v>2405</v>
      </c>
    </row>
    <row r="849" spans="1:3" x14ac:dyDescent="0.35">
      <c r="A849" t="s">
        <v>2406</v>
      </c>
      <c r="B849">
        <v>6409825628</v>
      </c>
      <c r="C849" t="s">
        <v>2407</v>
      </c>
    </row>
    <row r="850" spans="1:3" x14ac:dyDescent="0.35">
      <c r="A850" t="s">
        <v>2408</v>
      </c>
      <c r="B850" t="s">
        <v>2409</v>
      </c>
      <c r="C850" t="s">
        <v>2410</v>
      </c>
    </row>
    <row r="851" spans="1:3" x14ac:dyDescent="0.35">
      <c r="A851" t="s">
        <v>2411</v>
      </c>
      <c r="B851" t="s">
        <v>2412</v>
      </c>
      <c r="C851" t="s">
        <v>2413</v>
      </c>
    </row>
    <row r="852" spans="1:3" x14ac:dyDescent="0.35">
      <c r="A852" t="s">
        <v>2414</v>
      </c>
      <c r="B852" t="s">
        <v>2415</v>
      </c>
      <c r="C852" t="s">
        <v>2416</v>
      </c>
    </row>
    <row r="853" spans="1:3" x14ac:dyDescent="0.35">
      <c r="A853" t="s">
        <v>2417</v>
      </c>
      <c r="B853">
        <f>1-260-616-29</f>
        <v>-904</v>
      </c>
      <c r="C853" t="s">
        <v>2418</v>
      </c>
    </row>
    <row r="854" spans="1:3" x14ac:dyDescent="0.35">
      <c r="A854" t="s">
        <v>2419</v>
      </c>
      <c r="B854" t="s">
        <v>2420</v>
      </c>
      <c r="C854" t="s">
        <v>2421</v>
      </c>
    </row>
    <row r="855" spans="1:3" x14ac:dyDescent="0.35">
      <c r="A855" t="s">
        <v>2422</v>
      </c>
      <c r="B855" t="s">
        <v>2423</v>
      </c>
      <c r="C855" t="s">
        <v>2424</v>
      </c>
    </row>
    <row r="856" spans="1:3" x14ac:dyDescent="0.35">
      <c r="A856" t="s">
        <v>2425</v>
      </c>
      <c r="B856" t="s">
        <v>2426</v>
      </c>
      <c r="C856" t="s">
        <v>2427</v>
      </c>
    </row>
    <row r="857" spans="1:3" x14ac:dyDescent="0.35">
      <c r="A857" t="s">
        <v>2428</v>
      </c>
      <c r="B857" t="s">
        <v>2429</v>
      </c>
      <c r="C857" t="s">
        <v>2430</v>
      </c>
    </row>
    <row r="858" spans="1:3" x14ac:dyDescent="0.35">
      <c r="A858" t="s">
        <v>2431</v>
      </c>
      <c r="B858" t="s">
        <v>2432</v>
      </c>
      <c r="C858" t="s">
        <v>2433</v>
      </c>
    </row>
    <row r="859" spans="1:3" x14ac:dyDescent="0.35">
      <c r="A859" t="s">
        <v>2434</v>
      </c>
      <c r="B859" t="s">
        <v>2435</v>
      </c>
      <c r="C859" t="s">
        <v>2436</v>
      </c>
    </row>
    <row r="860" spans="1:3" x14ac:dyDescent="0.35">
      <c r="A860" t="s">
        <v>2437</v>
      </c>
      <c r="B860" t="s">
        <v>2438</v>
      </c>
      <c r="C860" t="s">
        <v>2439</v>
      </c>
    </row>
    <row r="861" spans="1:3" x14ac:dyDescent="0.35">
      <c r="A861" t="s">
        <v>2440</v>
      </c>
      <c r="B861" t="s">
        <v>2441</v>
      </c>
      <c r="C861" t="s">
        <v>2442</v>
      </c>
    </row>
    <row r="862" spans="1:3" x14ac:dyDescent="0.35">
      <c r="A862" t="s">
        <v>2443</v>
      </c>
      <c r="B862" t="s">
        <v>2444</v>
      </c>
      <c r="C862" t="s">
        <v>990</v>
      </c>
    </row>
    <row r="863" spans="1:3" x14ac:dyDescent="0.35">
      <c r="A863" t="s">
        <v>2445</v>
      </c>
      <c r="B863" t="s">
        <v>2446</v>
      </c>
      <c r="C863" t="s">
        <v>2447</v>
      </c>
    </row>
    <row r="864" spans="1:3" x14ac:dyDescent="0.35">
      <c r="A864" t="s">
        <v>2448</v>
      </c>
      <c r="B864" t="s">
        <v>2449</v>
      </c>
      <c r="C864" t="s">
        <v>2450</v>
      </c>
    </row>
    <row r="865" spans="1:3" x14ac:dyDescent="0.35">
      <c r="A865" t="s">
        <v>2451</v>
      </c>
      <c r="B865" t="s">
        <v>2452</v>
      </c>
      <c r="C865" t="s">
        <v>2453</v>
      </c>
    </row>
    <row r="866" spans="1:3" x14ac:dyDescent="0.35">
      <c r="A866" t="s">
        <v>2454</v>
      </c>
      <c r="B866" t="s">
        <v>2455</v>
      </c>
      <c r="C866" t="s">
        <v>2456</v>
      </c>
    </row>
    <row r="867" spans="1:3" x14ac:dyDescent="0.35">
      <c r="A867" t="s">
        <v>2457</v>
      </c>
      <c r="B867" t="s">
        <v>2458</v>
      </c>
      <c r="C867" t="s">
        <v>2459</v>
      </c>
    </row>
    <row r="868" spans="1:3" x14ac:dyDescent="0.35">
      <c r="A868" t="s">
        <v>2460</v>
      </c>
      <c r="B868" t="s">
        <v>2461</v>
      </c>
      <c r="C868" t="s">
        <v>2462</v>
      </c>
    </row>
    <row r="869" spans="1:3" x14ac:dyDescent="0.35">
      <c r="A869" t="s">
        <v>2463</v>
      </c>
      <c r="B869" t="s">
        <v>2464</v>
      </c>
      <c r="C869" t="s">
        <v>2465</v>
      </c>
    </row>
    <row r="870" spans="1:3" x14ac:dyDescent="0.35">
      <c r="A870" t="s">
        <v>2466</v>
      </c>
      <c r="B870" t="s">
        <v>2467</v>
      </c>
      <c r="C870" t="s">
        <v>2468</v>
      </c>
    </row>
    <row r="871" spans="1:3" x14ac:dyDescent="0.35">
      <c r="A871" t="s">
        <v>2469</v>
      </c>
      <c r="B871">
        <f>1-797-710-8030</f>
        <v>-9536</v>
      </c>
      <c r="C871" t="s">
        <v>2470</v>
      </c>
    </row>
    <row r="872" spans="1:3" x14ac:dyDescent="0.35">
      <c r="A872" t="s">
        <v>2471</v>
      </c>
      <c r="B872" t="s">
        <v>2472</v>
      </c>
      <c r="C872" t="s">
        <v>2473</v>
      </c>
    </row>
    <row r="873" spans="1:3" x14ac:dyDescent="0.35">
      <c r="A873" t="s">
        <v>2474</v>
      </c>
      <c r="B873" t="s">
        <v>2475</v>
      </c>
      <c r="C873" t="s">
        <v>2476</v>
      </c>
    </row>
    <row r="874" spans="1:3" x14ac:dyDescent="0.35">
      <c r="A874" t="s">
        <v>2477</v>
      </c>
      <c r="B874" t="s">
        <v>2478</v>
      </c>
      <c r="C874" t="s">
        <v>2479</v>
      </c>
    </row>
    <row r="875" spans="1:3" x14ac:dyDescent="0.35">
      <c r="A875" t="s">
        <v>2480</v>
      </c>
      <c r="B875" t="s">
        <v>2481</v>
      </c>
      <c r="C875" t="s">
        <v>2482</v>
      </c>
    </row>
    <row r="876" spans="1:3" x14ac:dyDescent="0.35">
      <c r="A876" t="s">
        <v>2483</v>
      </c>
      <c r="B876" t="s">
        <v>2484</v>
      </c>
      <c r="C876" t="s">
        <v>2485</v>
      </c>
    </row>
    <row r="877" spans="1:3" x14ac:dyDescent="0.35">
      <c r="A877" t="s">
        <v>2486</v>
      </c>
      <c r="B877" t="s">
        <v>2487</v>
      </c>
      <c r="C877" t="s">
        <v>2488</v>
      </c>
    </row>
    <row r="878" spans="1:3" x14ac:dyDescent="0.35">
      <c r="A878" t="s">
        <v>2489</v>
      </c>
      <c r="B878" t="s">
        <v>2490</v>
      </c>
      <c r="C878" t="s">
        <v>2491</v>
      </c>
    </row>
    <row r="879" spans="1:3" x14ac:dyDescent="0.35">
      <c r="A879" t="s">
        <v>2492</v>
      </c>
      <c r="B879" t="s">
        <v>2493</v>
      </c>
      <c r="C879" t="s">
        <v>2494</v>
      </c>
    </row>
    <row r="880" spans="1:3" x14ac:dyDescent="0.35">
      <c r="A880" t="s">
        <v>2495</v>
      </c>
      <c r="B880" t="s">
        <v>2496</v>
      </c>
      <c r="C880" t="s">
        <v>2497</v>
      </c>
    </row>
    <row r="881" spans="1:3" x14ac:dyDescent="0.35">
      <c r="A881" t="s">
        <v>2498</v>
      </c>
      <c r="B881" t="s">
        <v>2499</v>
      </c>
      <c r="C881" t="s">
        <v>2500</v>
      </c>
    </row>
    <row r="882" spans="1:3" x14ac:dyDescent="0.35">
      <c r="A882" t="s">
        <v>2501</v>
      </c>
      <c r="B882" t="s">
        <v>2502</v>
      </c>
      <c r="C882" t="s">
        <v>2503</v>
      </c>
    </row>
    <row r="883" spans="1:3" x14ac:dyDescent="0.35">
      <c r="A883" t="s">
        <v>2504</v>
      </c>
      <c r="B883" t="s">
        <v>2505</v>
      </c>
      <c r="C883" t="s">
        <v>2506</v>
      </c>
    </row>
    <row r="884" spans="1:3" x14ac:dyDescent="0.35">
      <c r="A884" t="s">
        <v>2507</v>
      </c>
      <c r="B884" t="s">
        <v>2508</v>
      </c>
      <c r="C884" t="s">
        <v>2509</v>
      </c>
    </row>
    <row r="885" spans="1:3" x14ac:dyDescent="0.35">
      <c r="A885" t="s">
        <v>2510</v>
      </c>
      <c r="B885" t="s">
        <v>2511</v>
      </c>
      <c r="C885" t="s">
        <v>2512</v>
      </c>
    </row>
    <row r="886" spans="1:3" x14ac:dyDescent="0.35">
      <c r="A886" t="s">
        <v>2513</v>
      </c>
      <c r="B886" t="s">
        <v>2514</v>
      </c>
      <c r="C886" t="s">
        <v>2515</v>
      </c>
    </row>
    <row r="887" spans="1:3" x14ac:dyDescent="0.35">
      <c r="A887" t="s">
        <v>2516</v>
      </c>
      <c r="B887" t="s">
        <v>2517</v>
      </c>
      <c r="C887" t="s">
        <v>2518</v>
      </c>
    </row>
    <row r="888" spans="1:3" x14ac:dyDescent="0.35">
      <c r="A888" t="s">
        <v>2519</v>
      </c>
      <c r="B888">
        <v>5019312072</v>
      </c>
      <c r="C888" t="s">
        <v>2520</v>
      </c>
    </row>
    <row r="889" spans="1:3" x14ac:dyDescent="0.35">
      <c r="A889" t="s">
        <v>2521</v>
      </c>
      <c r="B889">
        <f>1-655-809-4160</f>
        <v>-5623</v>
      </c>
      <c r="C889" t="s">
        <v>2522</v>
      </c>
    </row>
    <row r="890" spans="1:3" x14ac:dyDescent="0.35">
      <c r="A890" t="s">
        <v>2523</v>
      </c>
      <c r="B890" t="s">
        <v>2524</v>
      </c>
      <c r="C890" t="s">
        <v>2525</v>
      </c>
    </row>
    <row r="891" spans="1:3" x14ac:dyDescent="0.35">
      <c r="A891" t="s">
        <v>1082</v>
      </c>
      <c r="B891" t="s">
        <v>2526</v>
      </c>
      <c r="C891" t="s">
        <v>2527</v>
      </c>
    </row>
    <row r="892" spans="1:3" x14ac:dyDescent="0.35">
      <c r="A892" t="s">
        <v>2528</v>
      </c>
      <c r="B892" t="s">
        <v>2529</v>
      </c>
      <c r="C892" t="s">
        <v>2530</v>
      </c>
    </row>
    <row r="893" spans="1:3" x14ac:dyDescent="0.35">
      <c r="A893" t="s">
        <v>2531</v>
      </c>
      <c r="B893" t="s">
        <v>2532</v>
      </c>
      <c r="C893" t="s">
        <v>2533</v>
      </c>
    </row>
    <row r="894" spans="1:3" x14ac:dyDescent="0.35">
      <c r="A894" t="s">
        <v>2534</v>
      </c>
      <c r="B894" t="s">
        <v>2535</v>
      </c>
      <c r="C894" t="s">
        <v>2536</v>
      </c>
    </row>
    <row r="895" spans="1:3" x14ac:dyDescent="0.35">
      <c r="A895" t="s">
        <v>2537</v>
      </c>
      <c r="B895" t="s">
        <v>2538</v>
      </c>
      <c r="C895" t="s">
        <v>2539</v>
      </c>
    </row>
    <row r="896" spans="1:3" x14ac:dyDescent="0.35">
      <c r="A896" t="s">
        <v>2540</v>
      </c>
      <c r="B896" t="s">
        <v>2541</v>
      </c>
      <c r="C896" t="s">
        <v>1007</v>
      </c>
    </row>
    <row r="897" spans="1:3" x14ac:dyDescent="0.35">
      <c r="A897" t="s">
        <v>2542</v>
      </c>
      <c r="B897" t="s">
        <v>2543</v>
      </c>
      <c r="C897" t="s">
        <v>298</v>
      </c>
    </row>
    <row r="898" spans="1:3" x14ac:dyDescent="0.35">
      <c r="A898" t="s">
        <v>2544</v>
      </c>
      <c r="B898" t="s">
        <v>2545</v>
      </c>
      <c r="C898" t="s">
        <v>2546</v>
      </c>
    </row>
    <row r="899" spans="1:3" x14ac:dyDescent="0.35">
      <c r="A899" t="s">
        <v>2547</v>
      </c>
      <c r="B899" t="s">
        <v>2548</v>
      </c>
      <c r="C899" t="s">
        <v>2549</v>
      </c>
    </row>
    <row r="900" spans="1:3" x14ac:dyDescent="0.35">
      <c r="A900" t="s">
        <v>2550</v>
      </c>
      <c r="B900" t="s">
        <v>2551</v>
      </c>
      <c r="C900" t="s">
        <v>10</v>
      </c>
    </row>
    <row r="901" spans="1:3" x14ac:dyDescent="0.35">
      <c r="A901" t="s">
        <v>2552</v>
      </c>
      <c r="B901" t="s">
        <v>2553</v>
      </c>
      <c r="C901" t="s">
        <v>2554</v>
      </c>
    </row>
    <row r="902" spans="1:3" x14ac:dyDescent="0.35">
      <c r="A902" t="s">
        <v>2555</v>
      </c>
      <c r="B902" t="s">
        <v>2556</v>
      </c>
      <c r="C902" t="s">
        <v>2557</v>
      </c>
    </row>
    <row r="903" spans="1:3" x14ac:dyDescent="0.35">
      <c r="A903" t="s">
        <v>2558</v>
      </c>
      <c r="B903" t="s">
        <v>2559</v>
      </c>
      <c r="C903" t="s">
        <v>2560</v>
      </c>
    </row>
    <row r="904" spans="1:3" x14ac:dyDescent="0.35">
      <c r="A904" t="s">
        <v>2561</v>
      </c>
      <c r="B904" t="s">
        <v>2562</v>
      </c>
      <c r="C904" t="s">
        <v>2563</v>
      </c>
    </row>
    <row r="905" spans="1:3" x14ac:dyDescent="0.35">
      <c r="A905" t="s">
        <v>2564</v>
      </c>
      <c r="B905" t="s">
        <v>2565</v>
      </c>
      <c r="C905" t="s">
        <v>2566</v>
      </c>
    </row>
    <row r="906" spans="1:3" x14ac:dyDescent="0.35">
      <c r="A906" t="s">
        <v>2567</v>
      </c>
      <c r="B906" t="s">
        <v>2568</v>
      </c>
      <c r="C906" t="s">
        <v>2569</v>
      </c>
    </row>
    <row r="907" spans="1:3" x14ac:dyDescent="0.35">
      <c r="A907" t="s">
        <v>2570</v>
      </c>
      <c r="B907">
        <f>1-862-707-8235</f>
        <v>-9803</v>
      </c>
      <c r="C907" t="s">
        <v>2571</v>
      </c>
    </row>
    <row r="908" spans="1:3" x14ac:dyDescent="0.35">
      <c r="A908" t="s">
        <v>2572</v>
      </c>
      <c r="B908" t="s">
        <v>2573</v>
      </c>
      <c r="C908" t="s">
        <v>2574</v>
      </c>
    </row>
    <row r="909" spans="1:3" x14ac:dyDescent="0.35">
      <c r="A909" t="s">
        <v>2575</v>
      </c>
      <c r="B909" t="s">
        <v>2576</v>
      </c>
      <c r="C909" t="s">
        <v>2577</v>
      </c>
    </row>
    <row r="910" spans="1:3" x14ac:dyDescent="0.35">
      <c r="A910" t="s">
        <v>2578</v>
      </c>
      <c r="B910" t="s">
        <v>2579</v>
      </c>
      <c r="C910" t="s">
        <v>2580</v>
      </c>
    </row>
    <row r="911" spans="1:3" x14ac:dyDescent="0.35">
      <c r="A911" t="s">
        <v>2581</v>
      </c>
      <c r="B911" t="s">
        <v>2582</v>
      </c>
      <c r="C911" t="s">
        <v>2583</v>
      </c>
    </row>
    <row r="912" spans="1:3" x14ac:dyDescent="0.35">
      <c r="A912" t="s">
        <v>2584</v>
      </c>
      <c r="B912" t="s">
        <v>2585</v>
      </c>
      <c r="C912" t="s">
        <v>2586</v>
      </c>
    </row>
    <row r="913" spans="1:3" x14ac:dyDescent="0.35">
      <c r="A913" t="s">
        <v>2587</v>
      </c>
      <c r="B913" t="s">
        <v>2588</v>
      </c>
      <c r="C913" t="s">
        <v>2589</v>
      </c>
    </row>
    <row r="914" spans="1:3" x14ac:dyDescent="0.35">
      <c r="A914" t="s">
        <v>2590</v>
      </c>
      <c r="B914" t="s">
        <v>2591</v>
      </c>
      <c r="C914" t="s">
        <v>2592</v>
      </c>
    </row>
    <row r="915" spans="1:3" x14ac:dyDescent="0.35">
      <c r="A915" t="s">
        <v>2593</v>
      </c>
      <c r="B915" t="s">
        <v>2594</v>
      </c>
      <c r="C915" t="s">
        <v>2595</v>
      </c>
    </row>
    <row r="916" spans="1:3" x14ac:dyDescent="0.35">
      <c r="A916" t="s">
        <v>2596</v>
      </c>
      <c r="B916" t="s">
        <v>2597</v>
      </c>
      <c r="C916" t="s">
        <v>2598</v>
      </c>
    </row>
    <row r="917" spans="1:3" x14ac:dyDescent="0.35">
      <c r="A917" t="s">
        <v>2599</v>
      </c>
      <c r="B917" t="s">
        <v>2600</v>
      </c>
      <c r="C917" t="s">
        <v>2601</v>
      </c>
    </row>
    <row r="918" spans="1:3" x14ac:dyDescent="0.35">
      <c r="A918" t="s">
        <v>2602</v>
      </c>
      <c r="B918" t="s">
        <v>2603</v>
      </c>
      <c r="C918" t="s">
        <v>2604</v>
      </c>
    </row>
    <row r="919" spans="1:3" x14ac:dyDescent="0.35">
      <c r="A919" t="s">
        <v>2605</v>
      </c>
      <c r="B919" t="s">
        <v>2606</v>
      </c>
      <c r="C919" t="s">
        <v>2607</v>
      </c>
    </row>
    <row r="920" spans="1:3" x14ac:dyDescent="0.35">
      <c r="A920" t="s">
        <v>2608</v>
      </c>
      <c r="B920" t="s">
        <v>2609</v>
      </c>
      <c r="C920" t="s">
        <v>2610</v>
      </c>
    </row>
    <row r="921" spans="1:3" x14ac:dyDescent="0.35">
      <c r="A921" t="s">
        <v>2611</v>
      </c>
      <c r="B921" t="s">
        <v>2612</v>
      </c>
      <c r="C921" t="s">
        <v>2613</v>
      </c>
    </row>
    <row r="922" spans="1:3" x14ac:dyDescent="0.35">
      <c r="A922" t="s">
        <v>2614</v>
      </c>
      <c r="B922" t="s">
        <v>2615</v>
      </c>
      <c r="C922" t="s">
        <v>2616</v>
      </c>
    </row>
    <row r="923" spans="1:3" x14ac:dyDescent="0.35">
      <c r="A923" t="s">
        <v>2617</v>
      </c>
      <c r="B923" t="s">
        <v>2618</v>
      </c>
      <c r="C923" t="s">
        <v>2619</v>
      </c>
    </row>
    <row r="924" spans="1:3" x14ac:dyDescent="0.35">
      <c r="A924" t="s">
        <v>2620</v>
      </c>
      <c r="B924" t="s">
        <v>2621</v>
      </c>
      <c r="C924" t="s">
        <v>2622</v>
      </c>
    </row>
    <row r="925" spans="1:3" x14ac:dyDescent="0.35">
      <c r="A925" t="s">
        <v>2623</v>
      </c>
      <c r="B925" t="s">
        <v>2624</v>
      </c>
      <c r="C925" t="s">
        <v>859</v>
      </c>
    </row>
    <row r="926" spans="1:3" x14ac:dyDescent="0.35">
      <c r="A926" t="s">
        <v>400</v>
      </c>
      <c r="B926" t="s">
        <v>2625</v>
      </c>
      <c r="C926" t="s">
        <v>2626</v>
      </c>
    </row>
    <row r="927" spans="1:3" x14ac:dyDescent="0.35">
      <c r="A927" t="s">
        <v>2627</v>
      </c>
      <c r="B927" t="s">
        <v>2628</v>
      </c>
      <c r="C927" t="s">
        <v>2629</v>
      </c>
    </row>
    <row r="928" spans="1:3" x14ac:dyDescent="0.35">
      <c r="A928" t="s">
        <v>2630</v>
      </c>
      <c r="B928" t="s">
        <v>2631</v>
      </c>
      <c r="C928" t="s">
        <v>2632</v>
      </c>
    </row>
    <row r="929" spans="1:3" x14ac:dyDescent="0.35">
      <c r="A929" t="s">
        <v>2633</v>
      </c>
      <c r="B929" t="s">
        <v>2634</v>
      </c>
      <c r="C929" t="s">
        <v>1201</v>
      </c>
    </row>
    <row r="930" spans="1:3" x14ac:dyDescent="0.35">
      <c r="A930" t="s">
        <v>2635</v>
      </c>
      <c r="B930" t="s">
        <v>2636</v>
      </c>
      <c r="C930" t="s">
        <v>2637</v>
      </c>
    </row>
    <row r="931" spans="1:3" x14ac:dyDescent="0.35">
      <c r="A931" t="s">
        <v>2638</v>
      </c>
      <c r="B931" t="s">
        <v>2639</v>
      </c>
      <c r="C931" t="s">
        <v>2640</v>
      </c>
    </row>
    <row r="932" spans="1:3" x14ac:dyDescent="0.35">
      <c r="A932" t="s">
        <v>2641</v>
      </c>
      <c r="B932">
        <f>1-374-572-937</f>
        <v>-1882</v>
      </c>
      <c r="C932" t="s">
        <v>2642</v>
      </c>
    </row>
    <row r="933" spans="1:3" x14ac:dyDescent="0.35">
      <c r="A933" t="s">
        <v>2643</v>
      </c>
      <c r="B933" t="s">
        <v>2644</v>
      </c>
      <c r="C933" t="s">
        <v>2645</v>
      </c>
    </row>
    <row r="934" spans="1:3" x14ac:dyDescent="0.35">
      <c r="A934" t="s">
        <v>2646</v>
      </c>
      <c r="B934" t="s">
        <v>2647</v>
      </c>
      <c r="C934" t="s">
        <v>2648</v>
      </c>
    </row>
    <row r="935" spans="1:3" x14ac:dyDescent="0.35">
      <c r="A935" t="s">
        <v>2649</v>
      </c>
      <c r="B935" t="s">
        <v>2650</v>
      </c>
      <c r="C935" t="s">
        <v>1435</v>
      </c>
    </row>
    <row r="936" spans="1:3" x14ac:dyDescent="0.35">
      <c r="A936" t="s">
        <v>2651</v>
      </c>
      <c r="B936" t="s">
        <v>2652</v>
      </c>
      <c r="C936" t="s">
        <v>2653</v>
      </c>
    </row>
    <row r="937" spans="1:3" x14ac:dyDescent="0.35">
      <c r="A937" t="s">
        <v>2654</v>
      </c>
      <c r="B937" t="s">
        <v>2655</v>
      </c>
      <c r="C937" t="s">
        <v>2656</v>
      </c>
    </row>
    <row r="938" spans="1:3" x14ac:dyDescent="0.35">
      <c r="A938" t="s">
        <v>2657</v>
      </c>
      <c r="B938" t="s">
        <v>2658</v>
      </c>
      <c r="C938" t="s">
        <v>2659</v>
      </c>
    </row>
    <row r="939" spans="1:3" x14ac:dyDescent="0.35">
      <c r="A939" t="s">
        <v>2660</v>
      </c>
      <c r="B939" t="s">
        <v>2661</v>
      </c>
      <c r="C939" t="s">
        <v>2662</v>
      </c>
    </row>
    <row r="940" spans="1:3" x14ac:dyDescent="0.35">
      <c r="A940" t="s">
        <v>2663</v>
      </c>
      <c r="B940" t="s">
        <v>2664</v>
      </c>
      <c r="C940" t="s">
        <v>2665</v>
      </c>
    </row>
    <row r="941" spans="1:3" x14ac:dyDescent="0.35">
      <c r="A941" t="s">
        <v>2666</v>
      </c>
      <c r="B941" t="s">
        <v>2667</v>
      </c>
      <c r="C941" t="s">
        <v>2668</v>
      </c>
    </row>
    <row r="942" spans="1:3" x14ac:dyDescent="0.35">
      <c r="A942" t="s">
        <v>2669</v>
      </c>
      <c r="B942" t="s">
        <v>2670</v>
      </c>
      <c r="C942" t="s">
        <v>2671</v>
      </c>
    </row>
    <row r="943" spans="1:3" x14ac:dyDescent="0.35">
      <c r="A943" t="s">
        <v>2672</v>
      </c>
      <c r="B943" t="s">
        <v>2673</v>
      </c>
      <c r="C943" t="s">
        <v>2674</v>
      </c>
    </row>
    <row r="944" spans="1:3" x14ac:dyDescent="0.35">
      <c r="A944" t="s">
        <v>2675</v>
      </c>
      <c r="B944" t="s">
        <v>2676</v>
      </c>
      <c r="C944" t="s">
        <v>2677</v>
      </c>
    </row>
    <row r="945" spans="1:3" x14ac:dyDescent="0.35">
      <c r="A945" t="s">
        <v>2678</v>
      </c>
      <c r="B945" t="s">
        <v>2679</v>
      </c>
      <c r="C945" t="s">
        <v>1397</v>
      </c>
    </row>
    <row r="946" spans="1:3" x14ac:dyDescent="0.35">
      <c r="A946" t="s">
        <v>2680</v>
      </c>
      <c r="B946" t="s">
        <v>2681</v>
      </c>
      <c r="C946" t="s">
        <v>2682</v>
      </c>
    </row>
    <row r="947" spans="1:3" x14ac:dyDescent="0.35">
      <c r="A947" t="s">
        <v>2683</v>
      </c>
      <c r="B947" t="s">
        <v>2684</v>
      </c>
      <c r="C947" t="s">
        <v>2685</v>
      </c>
    </row>
    <row r="948" spans="1:3" x14ac:dyDescent="0.35">
      <c r="A948" t="s">
        <v>2686</v>
      </c>
      <c r="B948">
        <f>1-726-794-5415</f>
        <v>-6934</v>
      </c>
      <c r="C948" t="s">
        <v>2687</v>
      </c>
    </row>
    <row r="949" spans="1:3" x14ac:dyDescent="0.35">
      <c r="A949" t="s">
        <v>2688</v>
      </c>
      <c r="B949" t="s">
        <v>2689</v>
      </c>
      <c r="C949" t="s">
        <v>2690</v>
      </c>
    </row>
    <row r="950" spans="1:3" x14ac:dyDescent="0.35">
      <c r="A950" t="s">
        <v>2691</v>
      </c>
      <c r="B950" t="s">
        <v>2692</v>
      </c>
      <c r="C950" t="s">
        <v>2693</v>
      </c>
    </row>
    <row r="951" spans="1:3" x14ac:dyDescent="0.35">
      <c r="A951" t="s">
        <v>2694</v>
      </c>
      <c r="B951" t="s">
        <v>2695</v>
      </c>
      <c r="C951" t="s">
        <v>2696</v>
      </c>
    </row>
    <row r="952" spans="1:3" x14ac:dyDescent="0.35">
      <c r="A952" t="s">
        <v>2697</v>
      </c>
      <c r="B952" t="s">
        <v>2698</v>
      </c>
      <c r="C952" t="s">
        <v>2699</v>
      </c>
    </row>
    <row r="953" spans="1:3" x14ac:dyDescent="0.35">
      <c r="A953" t="s">
        <v>2700</v>
      </c>
      <c r="B953" t="s">
        <v>2701</v>
      </c>
      <c r="C953" t="s">
        <v>2702</v>
      </c>
    </row>
    <row r="954" spans="1:3" x14ac:dyDescent="0.35">
      <c r="A954" t="s">
        <v>2703</v>
      </c>
      <c r="B954">
        <v>6295151948</v>
      </c>
      <c r="C954" t="s">
        <v>2704</v>
      </c>
    </row>
    <row r="955" spans="1:3" x14ac:dyDescent="0.35">
      <c r="A955" t="s">
        <v>2705</v>
      </c>
      <c r="B955">
        <v>9397885319</v>
      </c>
      <c r="C955" t="s">
        <v>2706</v>
      </c>
    </row>
    <row r="956" spans="1:3" x14ac:dyDescent="0.35">
      <c r="A956" t="s">
        <v>2707</v>
      </c>
      <c r="B956" t="s">
        <v>2708</v>
      </c>
      <c r="C956" t="s">
        <v>2709</v>
      </c>
    </row>
    <row r="957" spans="1:3" x14ac:dyDescent="0.35">
      <c r="A957" t="s">
        <v>2710</v>
      </c>
      <c r="B957" t="s">
        <v>2711</v>
      </c>
      <c r="C957" t="s">
        <v>2712</v>
      </c>
    </row>
    <row r="958" spans="1:3" x14ac:dyDescent="0.35">
      <c r="A958" t="s">
        <v>2713</v>
      </c>
      <c r="B958" t="s">
        <v>2714</v>
      </c>
      <c r="C958" t="s">
        <v>2715</v>
      </c>
    </row>
    <row r="959" spans="1:3" x14ac:dyDescent="0.35">
      <c r="A959" t="s">
        <v>2716</v>
      </c>
      <c r="B959" t="s">
        <v>2717</v>
      </c>
      <c r="C959" t="s">
        <v>2718</v>
      </c>
    </row>
    <row r="960" spans="1:3" x14ac:dyDescent="0.35">
      <c r="A960" t="s">
        <v>2719</v>
      </c>
      <c r="B960" t="s">
        <v>2720</v>
      </c>
      <c r="C960" t="s">
        <v>2721</v>
      </c>
    </row>
    <row r="961" spans="1:3" x14ac:dyDescent="0.35">
      <c r="A961" t="s">
        <v>2722</v>
      </c>
      <c r="B961" t="s">
        <v>2723</v>
      </c>
      <c r="C961" t="s">
        <v>2724</v>
      </c>
    </row>
    <row r="962" spans="1:3" x14ac:dyDescent="0.35">
      <c r="A962" t="s">
        <v>2725</v>
      </c>
      <c r="B962" t="s">
        <v>2726</v>
      </c>
      <c r="C962" t="s">
        <v>1168</v>
      </c>
    </row>
    <row r="963" spans="1:3" x14ac:dyDescent="0.35">
      <c r="A963" t="s">
        <v>2727</v>
      </c>
      <c r="B963" t="s">
        <v>2728</v>
      </c>
      <c r="C963" t="s">
        <v>2729</v>
      </c>
    </row>
    <row r="964" spans="1:3" x14ac:dyDescent="0.35">
      <c r="A964" t="s">
        <v>2730</v>
      </c>
      <c r="B964" t="s">
        <v>2731</v>
      </c>
      <c r="C964" t="s">
        <v>2732</v>
      </c>
    </row>
    <row r="965" spans="1:3" x14ac:dyDescent="0.35">
      <c r="A965" t="s">
        <v>2733</v>
      </c>
      <c r="B965" t="s">
        <v>2734</v>
      </c>
      <c r="C965" t="s">
        <v>2735</v>
      </c>
    </row>
    <row r="966" spans="1:3" x14ac:dyDescent="0.35">
      <c r="A966" t="s">
        <v>2736</v>
      </c>
      <c r="B966">
        <f>1-430-971-3957</f>
        <v>-5357</v>
      </c>
      <c r="C966" t="s">
        <v>2737</v>
      </c>
    </row>
    <row r="967" spans="1:3" x14ac:dyDescent="0.35">
      <c r="A967" t="s">
        <v>2738</v>
      </c>
      <c r="B967" t="s">
        <v>2739</v>
      </c>
      <c r="C967" t="s">
        <v>2740</v>
      </c>
    </row>
    <row r="968" spans="1:3" x14ac:dyDescent="0.35">
      <c r="A968" t="s">
        <v>2741</v>
      </c>
      <c r="B968" t="s">
        <v>2742</v>
      </c>
      <c r="C968" t="s">
        <v>2743</v>
      </c>
    </row>
    <row r="969" spans="1:3" x14ac:dyDescent="0.35">
      <c r="A969" t="s">
        <v>2744</v>
      </c>
      <c r="B969" t="s">
        <v>2745</v>
      </c>
      <c r="C969" t="s">
        <v>2746</v>
      </c>
    </row>
    <row r="970" spans="1:3" x14ac:dyDescent="0.35">
      <c r="A970" t="s">
        <v>2747</v>
      </c>
      <c r="B970" t="s">
        <v>2748</v>
      </c>
      <c r="C970" t="s">
        <v>2749</v>
      </c>
    </row>
    <row r="971" spans="1:3" x14ac:dyDescent="0.35">
      <c r="A971" t="s">
        <v>2750</v>
      </c>
      <c r="B971" t="s">
        <v>2751</v>
      </c>
      <c r="C971" t="s">
        <v>2752</v>
      </c>
    </row>
    <row r="972" spans="1:3" x14ac:dyDescent="0.35">
      <c r="A972" t="s">
        <v>2753</v>
      </c>
      <c r="B972" t="s">
        <v>2754</v>
      </c>
      <c r="C972" t="s">
        <v>2755</v>
      </c>
    </row>
    <row r="973" spans="1:3" x14ac:dyDescent="0.35">
      <c r="A973" t="s">
        <v>2756</v>
      </c>
      <c r="B973" t="s">
        <v>2757</v>
      </c>
      <c r="C973" t="s">
        <v>2758</v>
      </c>
    </row>
    <row r="974" spans="1:3" x14ac:dyDescent="0.35">
      <c r="A974" t="s">
        <v>2759</v>
      </c>
      <c r="B974" t="s">
        <v>2760</v>
      </c>
      <c r="C974" t="s">
        <v>2761</v>
      </c>
    </row>
    <row r="975" spans="1:3" x14ac:dyDescent="0.35">
      <c r="A975" t="s">
        <v>2762</v>
      </c>
      <c r="B975" t="s">
        <v>2763</v>
      </c>
      <c r="C975" t="s">
        <v>2764</v>
      </c>
    </row>
    <row r="976" spans="1:3" x14ac:dyDescent="0.35">
      <c r="A976" t="s">
        <v>2765</v>
      </c>
      <c r="B976">
        <v>6099375951</v>
      </c>
      <c r="C976" t="s">
        <v>494</v>
      </c>
    </row>
    <row r="977" spans="1:3" x14ac:dyDescent="0.35">
      <c r="A977" t="s">
        <v>2766</v>
      </c>
      <c r="B977" t="s">
        <v>2767</v>
      </c>
      <c r="C977" t="s">
        <v>2768</v>
      </c>
    </row>
    <row r="978" spans="1:3" x14ac:dyDescent="0.35">
      <c r="A978" t="s">
        <v>2769</v>
      </c>
      <c r="B978" t="s">
        <v>2770</v>
      </c>
      <c r="C978" t="s">
        <v>2771</v>
      </c>
    </row>
    <row r="979" spans="1:3" x14ac:dyDescent="0.35">
      <c r="A979" t="s">
        <v>2772</v>
      </c>
      <c r="B979" t="s">
        <v>2773</v>
      </c>
      <c r="C979" t="s">
        <v>2774</v>
      </c>
    </row>
    <row r="980" spans="1:3" x14ac:dyDescent="0.35">
      <c r="A980" t="s">
        <v>2775</v>
      </c>
      <c r="B980" t="s">
        <v>2776</v>
      </c>
      <c r="C980" t="s">
        <v>2777</v>
      </c>
    </row>
    <row r="981" spans="1:3" x14ac:dyDescent="0.35">
      <c r="A981" t="s">
        <v>2778</v>
      </c>
      <c r="B981" t="s">
        <v>2779</v>
      </c>
      <c r="C981" t="s">
        <v>2780</v>
      </c>
    </row>
    <row r="982" spans="1:3" x14ac:dyDescent="0.35">
      <c r="A982" t="s">
        <v>2781</v>
      </c>
      <c r="B982" t="s">
        <v>2782</v>
      </c>
      <c r="C982" t="s">
        <v>2783</v>
      </c>
    </row>
    <row r="983" spans="1:3" x14ac:dyDescent="0.35">
      <c r="A983" t="s">
        <v>2784</v>
      </c>
      <c r="B983" t="s">
        <v>2785</v>
      </c>
      <c r="C983" t="s">
        <v>2786</v>
      </c>
    </row>
    <row r="984" spans="1:3" x14ac:dyDescent="0.35">
      <c r="A984" t="s">
        <v>2787</v>
      </c>
      <c r="B984">
        <f>1-338-491-1508</f>
        <v>-2336</v>
      </c>
      <c r="C984" t="s">
        <v>2788</v>
      </c>
    </row>
    <row r="985" spans="1:3" x14ac:dyDescent="0.35">
      <c r="A985" t="s">
        <v>2789</v>
      </c>
      <c r="B985" t="s">
        <v>2790</v>
      </c>
      <c r="C985" t="s">
        <v>2791</v>
      </c>
    </row>
    <row r="986" spans="1:3" x14ac:dyDescent="0.35">
      <c r="A986" t="s">
        <v>2792</v>
      </c>
      <c r="B986" t="s">
        <v>2793</v>
      </c>
      <c r="C986" t="s">
        <v>2794</v>
      </c>
    </row>
    <row r="987" spans="1:3" x14ac:dyDescent="0.35">
      <c r="A987" t="s">
        <v>2795</v>
      </c>
      <c r="B987" t="s">
        <v>2796</v>
      </c>
      <c r="C987" t="s">
        <v>2797</v>
      </c>
    </row>
    <row r="988" spans="1:3" x14ac:dyDescent="0.35">
      <c r="A988" t="s">
        <v>2798</v>
      </c>
      <c r="B988" t="s">
        <v>2799</v>
      </c>
      <c r="C988" t="s">
        <v>2800</v>
      </c>
    </row>
    <row r="989" spans="1:3" x14ac:dyDescent="0.35">
      <c r="A989" t="s">
        <v>2801</v>
      </c>
      <c r="B989" t="s">
        <v>2802</v>
      </c>
      <c r="C989" t="s">
        <v>2803</v>
      </c>
    </row>
    <row r="990" spans="1:3" x14ac:dyDescent="0.35">
      <c r="A990" t="s">
        <v>2804</v>
      </c>
      <c r="B990" t="s">
        <v>2805</v>
      </c>
      <c r="C990" t="s">
        <v>2806</v>
      </c>
    </row>
    <row r="991" spans="1:3" x14ac:dyDescent="0.35">
      <c r="A991" t="s">
        <v>2807</v>
      </c>
      <c r="B991">
        <v>2603990714</v>
      </c>
      <c r="C991" t="s">
        <v>2808</v>
      </c>
    </row>
    <row r="992" spans="1:3" x14ac:dyDescent="0.35">
      <c r="A992" t="s">
        <v>2809</v>
      </c>
      <c r="B992" t="s">
        <v>2810</v>
      </c>
      <c r="C992" t="s">
        <v>2811</v>
      </c>
    </row>
    <row r="993" spans="1:3" x14ac:dyDescent="0.35">
      <c r="A993" t="s">
        <v>2638</v>
      </c>
      <c r="B993" t="s">
        <v>2812</v>
      </c>
      <c r="C993" t="s">
        <v>2813</v>
      </c>
    </row>
    <row r="994" spans="1:3" x14ac:dyDescent="0.35">
      <c r="A994" t="s">
        <v>2814</v>
      </c>
      <c r="B994" t="s">
        <v>2815</v>
      </c>
      <c r="C994" t="s">
        <v>2816</v>
      </c>
    </row>
    <row r="995" spans="1:3" x14ac:dyDescent="0.35">
      <c r="A995" t="s">
        <v>2817</v>
      </c>
      <c r="B995">
        <v>2619366061</v>
      </c>
      <c r="C995" t="s">
        <v>2818</v>
      </c>
    </row>
    <row r="996" spans="1:3" x14ac:dyDescent="0.35">
      <c r="A996" t="s">
        <v>2819</v>
      </c>
      <c r="B996" t="s">
        <v>2820</v>
      </c>
      <c r="C996" t="s">
        <v>2821</v>
      </c>
    </row>
    <row r="997" spans="1:3" x14ac:dyDescent="0.35">
      <c r="A997" t="s">
        <v>2822</v>
      </c>
      <c r="B997" t="s">
        <v>2823</v>
      </c>
      <c r="C997" t="s">
        <v>2824</v>
      </c>
    </row>
    <row r="998" spans="1:3" x14ac:dyDescent="0.35">
      <c r="A998" t="s">
        <v>2825</v>
      </c>
      <c r="B998" t="s">
        <v>2826</v>
      </c>
      <c r="C998" t="s">
        <v>2827</v>
      </c>
    </row>
    <row r="999" spans="1:3" x14ac:dyDescent="0.35">
      <c r="A999" t="s">
        <v>2828</v>
      </c>
      <c r="B999" t="s">
        <v>2829</v>
      </c>
      <c r="C999" t="s">
        <v>2830</v>
      </c>
    </row>
    <row r="1000" spans="1:3" x14ac:dyDescent="0.35">
      <c r="A1000" t="s">
        <v>2831</v>
      </c>
      <c r="B1000" t="s">
        <v>2832</v>
      </c>
      <c r="C1000" t="s">
        <v>2833</v>
      </c>
    </row>
    <row r="1001" spans="1:3" x14ac:dyDescent="0.35">
      <c r="A1001" t="s">
        <v>2834</v>
      </c>
      <c r="B1001" t="s">
        <v>2835</v>
      </c>
      <c r="C1001" t="s">
        <v>2836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TIWARI</dc:creator>
  <cp:lastModifiedBy>DEEP TIWARI</cp:lastModifiedBy>
  <dcterms:created xsi:type="dcterms:W3CDTF">2026-03-11T05:24:37Z</dcterms:created>
  <dcterms:modified xsi:type="dcterms:W3CDTF">2026-03-11T09:22:28Z</dcterms:modified>
</cp:coreProperties>
</file>